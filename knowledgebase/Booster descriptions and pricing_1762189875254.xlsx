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3d9bc27be60b4978/Others/AI Sales Training/Content Creation/Content for SkinCoach/"/>
    </mc:Choice>
  </mc:AlternateContent>
  <xr:revisionPtr revIDLastSave="0" documentId="8_{C8552584-B33B-40E4-B27A-379A5C86ADA5}" xr6:coauthVersionLast="47" xr6:coauthVersionMax="47" xr10:uidLastSave="{00000000-0000-0000-0000-000000000000}"/>
  <bookViews>
    <workbookView xWindow="28680" yWindow="-120" windowWidth="29040" windowHeight="15720" xr2:uid="{9A707355-1641-45D9-B505-A53D203D976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8" i="1" l="1"/>
  <c r="M47" i="1"/>
  <c r="L47" i="1"/>
  <c r="M46" i="1"/>
  <c r="L46" i="1"/>
  <c r="M45" i="1"/>
  <c r="L45" i="1"/>
  <c r="M44" i="1"/>
  <c r="L44" i="1"/>
  <c r="M43" i="1"/>
  <c r="L43" i="1"/>
  <c r="M42" i="1"/>
  <c r="L42" i="1"/>
  <c r="L41" i="1"/>
  <c r="M40" i="1"/>
  <c r="L40" i="1"/>
  <c r="M39" i="1"/>
  <c r="L39" i="1"/>
  <c r="M38" i="1"/>
  <c r="L38" i="1"/>
  <c r="M37" i="1"/>
  <c r="L37" i="1"/>
  <c r="M36" i="1"/>
  <c r="L36" i="1"/>
  <c r="M35" i="1"/>
  <c r="L35" i="1"/>
  <c r="M34" i="1"/>
  <c r="L34" i="1"/>
  <c r="M33" i="1"/>
  <c r="L33" i="1"/>
  <c r="M32" i="1"/>
  <c r="L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<sst xmlns="http://schemas.openxmlformats.org/spreadsheetml/2006/main" count="373" uniqueCount="370">
  <si>
    <t>Product Name</t>
  </si>
  <si>
    <t>Tagline</t>
  </si>
  <si>
    <t>Ingredients</t>
  </si>
  <si>
    <t>Hero Benefit Summary</t>
  </si>
  <si>
    <t>Key Actives</t>
  </si>
  <si>
    <t>Face Benefits</t>
  </si>
  <si>
    <t>Body Benefit</t>
  </si>
  <si>
    <t>Hair/Scalp Benefits</t>
  </si>
  <si>
    <t>Eye Benefits</t>
  </si>
  <si>
    <t>Clinical Highlight</t>
  </si>
  <si>
    <t>Trade Name</t>
  </si>
  <si>
    <t>Cost 2ml</t>
  </si>
  <si>
    <t>Retail 2ml</t>
  </si>
  <si>
    <t>Retail 30ml</t>
  </si>
  <si>
    <t>Sculpt Lift Booster</t>
  </si>
  <si>
    <t>“Lifted skin. Empowered body.”</t>
  </si>
  <si>
    <t>Cocos Nucifera Fruit Extract
Camellia Sinensis Leaf Oil
Oleic Acid 
Stearic Acid 
Polysorbate 80 
Mentha Piperita Oil
Cymbopogon Martini Oil
Hydrolyzed Soy Protein
PPG-15 Stearyl Ether
Steareth-2
Steareth-21
Phenoxyethanol
Caprylyl Glycol
Hydroxypropyl Guar
BHT</t>
  </si>
  <si>
    <t>Firms, tones, hydrates, and refreshes — revealing visibly lifted, smoother, more confident skin in just 7 days.</t>
  </si>
  <si>
    <t>Peppermint essential oil · Palmarosa essential oil · Green tea oil · Coconut fruit extract · Hydrolyzed soy protein</t>
  </si>
  <si>
    <t>Deeply moisturizes without greasiness — soft, silky skin finish
Enhances smoothness and suppleness, restoring bounce to the skin
Improves skin barrier protection to maintain hydration balance</t>
  </si>
  <si>
    <t>Firms and lifts the skin with measurable improvement in just 7 days
Increases skin elasticity and tone, restoring smooth, contoured appearance
Improves skin density and reduces the “softness” or sagging look
Delivers faster results — up to 4× quicker than standard firming creams</t>
  </si>
  <si>
    <t>92 % saw visibly firmer, smoother skin in 14 days</t>
  </si>
  <si>
    <t>Body Lift</t>
  </si>
  <si>
    <t>Caviar Glow Booster</t>
  </si>
  <si>
    <t>“Revive. Renew. Reawaken.”</t>
  </si>
  <si>
    <t>Panthenol 
Propylene Glycol
Phenoxyethanol
Caprylyl Glycol
Polyvinyl Alcohol
Hyaluronic Acid
Caviar Extract</t>
  </si>
  <si>
    <t>Deeply nourishes, regenerates, and hydrates — reviving skin and hair with luxurious caviar nutrients for a visibly youthful glow and silky strength.</t>
  </si>
  <si>
    <t>Caviar Extract — rich in amino acids, proteins, omega-3s, vitamins, and trace minerals
D-Panthenol (Vitamin B5) — strengthens, hydrates, and heals skin &amp; hair
Hyaluronic Acid — plumps and locks in deep hydration</t>
  </si>
  <si>
    <t>Deep nutrition and cellular renewal for tired, dull, or aging skin
Strong anti-wrinkle and regenerative action — supports collagen and elasticity
Hydration surge from hyaluronic acid, giving dewy, supple texture
Improved skin barrier function and lipid regeneration</t>
  </si>
  <si>
    <t>Hydrates and restores dry, damaged, or chemically treated hair
Increases capillary mass — thicker, stronger strands
Boosts shine and softness for a luxurious finish
Strengthens from root to tip, reducing porosity and breakage
Enhanced effect with heat — ideal for blow-dry or post-treatment care</t>
  </si>
  <si>
    <t>94 % saw smoother, more radiant skin in 7 days.
88 % noticed stronger, shinier hair.</t>
  </si>
  <si>
    <t>Caviar</t>
  </si>
  <si>
    <t>Detox &amp; Drain Booster</t>
  </si>
  <si>
    <t>“Smooth. Drain. Define.”</t>
  </si>
  <si>
    <t>Linoleic Acid
Oleic Acid
Camellia Sinensis Leaf Oil
PPG-15 Stearyl Ether
Caffeine
Arnica Montana Flower Oil
Poloxamer 407
Glycolic Acid
Steareth-2
Steareth-21
Sodium Benzoate
Phenoxyethanol
Caprylyl Glycol
Cymbopogon Martini Oil
BHT</t>
  </si>
  <si>
    <t>Smooths, drains, and tones — visibly reduces cellulite and body puffiness while refining contours and leaving skin silky and hydrated.</t>
  </si>
  <si>
    <t>Caffeine — reduces fat accumulation, activates lipolysis, and improves microcirculation
Green Tea Oil — antioxidant, enhances fat metabolism, and boosts blood flow
Arnica Montana Oil — anti-inflammatory and circulation-activating
Palmarosa Essential Oil — tones, regenerates, and improves skin texture</t>
  </si>
  <si>
    <t>Firms and tones skin for a smoother, sculpted look
Deeply hydrates and restores softness
Enhances elasticity, making skin look supple and resilient
Anti-inflammatory and soothing for sensitive or irritated areas</t>
  </si>
  <si>
    <t>Clinically proven anti-cellulite action — visible results after just one application
Reduces orange peel texture and smooths uneven skin surface
Decreases body measurements with continuous use by reducing local fat accumulation while boosting fat breakdown
Improves lymphatic drainage, reducing puffiness and water retention by activating microcirculation, improving skin oxygenation and nutrient flow</t>
  </si>
  <si>
    <t>100% of volunteers showed improvement in skin appearance
83% reported visible cellulite reduction after first use
100% reported hydrated, smoother, and more even-toned skin
Visible cooling effect immediately after use, indicating better blood flow</t>
  </si>
  <si>
    <t>Cellulitech ECO</t>
  </si>
  <si>
    <t>Lift+ Booster</t>
  </si>
  <si>
    <t>“Instant lift. All-day confidence.”</t>
  </si>
  <si>
    <t>Propanediol
Dimethylaminoethanol Tartrate
Cocos Nucifera (Coconut) Fruit Extract
Poloxamer 407
Lactic Acid
Collagen
Mannose
Glucose</t>
  </si>
  <si>
    <t>Instantly lifts and firms for a visibly smoother, younger-looking complexion.
Reduces wrinkles, restores elasticity, and delivers a 12-hour firming effect</t>
  </si>
  <si>
    <t>Dimethylaminoethanol Bitartrate (DMAE) — a clinically recognized lifting molecule derived from fish. Naturally tighten and tone the facial muscles for an instant and long-term lifting effect.</t>
  </si>
  <si>
    <t>Provides an immediate lifting and tensor effect after application
Visibly reduces wrinkles and fine lines, improving elasticity
Enhances skin firmness and muscle tone by stimulating acetylcholine release
Delivers both instant and long-term results, improving overall skin contour and definition</t>
  </si>
  <si>
    <t>Minimizes puffiness and fine lines around the eyes.
Provides a refreshed, lifted look.</t>
  </si>
  <si>
    <t>95 % reported firmer skin within 7 days.</t>
  </si>
  <si>
    <t>DMAE</t>
  </si>
  <si>
    <t>Bright+ Booster</t>
  </si>
  <si>
    <t>“Renew. Brighten. Glow.”</t>
  </si>
  <si>
    <t>Avena Sativa Kernel Oil
Glycolic Acid
Lactic Acid
Citric Acid
Oleic Acid
Stearic Acid
Palmitic Acid
Glycyrrhiza Glabra Root Extract
Polysorbate 80
PPG-15 Stearyl Ether
Steareth-2
Steareth-21
Phenoxyethanol
Caprylyl Glycol
BHT</t>
  </si>
  <si>
    <t>Brightens, renews, and refines — delivering a clear, luminous complexion through gentle daily exfoliation that respects even the most sensitive skin.</t>
  </si>
  <si>
    <t>Glycolic Acid, Lactic Acid, Citric Acid, Licorice Extract, and Oat Oil — a synergistic complex that gently resurfaces, brightens, and balances the skin tone while maintaining hydration and comfort.</t>
  </si>
  <si>
    <t>Visibly brightens and evens out skin tone while preventing new dark spots from forming
Promotes cell turnover and refines texture for smoother, fresher skin
Reduces corneocyte cohesion to minimize dullness and roughness
Softens fine lines and photoaging signs, giving a firmer, rejuvenated look
Restores comfort — making daily exfoliation safe even for sensitive skin
Improves barrier function and leaves the skin soft, supple, and balanced</t>
  </si>
  <si>
    <t>Reduces melasma intensity and pigmentation marks by up to 33% in 7 days
90 % experienced smoother texture in 1 week.
85 % saw brighter tone within 14 days.</t>
  </si>
  <si>
    <t>Hydroxy Acids</t>
  </si>
  <si>
    <t>C-Radiance Booster</t>
  </si>
  <si>
    <t>“Illuminate. Smooth. Renew.”</t>
  </si>
  <si>
    <t>Peg-12 Dimethicone
Dimethicone
Propylene Glycol
Ascorbic Acid
Sodium Metabisulfite
Sodium Chloride</t>
  </si>
  <si>
    <t>Brightens, firms, and revitalizes — this high-performance Vitamin C booster delivers powerful antioxidant protection, visible wrinkle reduction, and a radiant, even tone in just 7 days.</t>
  </si>
  <si>
    <t>Ascorbic Acid (Vitamin C) — the most active and potent form of Vitamin C, encapsulated for maximum stability and skin penetration. It brightens, firms, and protects — restoring youthful luminosity from the first week of use.</t>
  </si>
  <si>
    <t>Reduces wrinkles and fine lines by stimulating collagen synthesis, reinforcing skin structure and elasticity, 94% of users saw visible improvement in 28 days of use
Visibly reduceing dark spots, sun damage, and uneven tone for a radiant glow by preventing formation of new pigmentation with continued use
Improves firmness and density, restoring youthful bounce
Enhances skin texture and smoothness, reducing roughness and visible pores
Deeply moisturizes, leaving skin soft and supple
Strengthens barrier function, supporting long-lasting hydration</t>
  </si>
  <si>
    <t>Improves skin freshness and vitality — 100% of users reported visible rejuvenation after 28 days
94 % saw improved brightness and firmness in 4 weeks.</t>
  </si>
  <si>
    <t>Ascorbic Acid</t>
  </si>
  <si>
    <t>AcneDefense Booster</t>
  </si>
  <si>
    <t>“Calm the chaos. Reveal clarity.”</t>
  </si>
  <si>
    <t>Purifies, balances, and clears — a soothing yet powerful booster that fights acne, controls oil, and calms inflammation while keeping skin and scalp fresh, healthy, and matte.</t>
  </si>
  <si>
    <t>Melaleuca (Tea Tree) Essential Oil, rich in terpinen-4-ol, known for its powerful antimicrobial, purifying, and sebum-balancing properties, it offers daily comfort and clarity for oily, acne-prone, or scalp-irritated skin.</t>
  </si>
  <si>
    <t>Antimicrobial and antiseptic action targeting bacteria, fungi, yeast
Astringent and oil-regulating effect for mattified, clearer skin.
Reduces breakouts and acne lesions while soothing inflammation.
Calms irritation and redness with natural anti-inflammatory benefits.
Accelerates healing of blemishes and minor skin abrasions.</t>
  </si>
  <si>
    <t>Clears blemishes and balances sebum production
Reduces breakouts and acne lesions with Antimicrobial and antiseptic action targeting bacteria, fungi, and yeast
Calms irritation and redness with natural anti-inflammatory benefits.</t>
  </si>
  <si>
    <t>Reduces dandruff and soothes itchiness.
Balances scalp oil for healthy roots.</t>
  </si>
  <si>
    <t>88 % reported fewer breakouts in 2 weeks.
91 % saw improved clarity and reduced oiliness.</t>
  </si>
  <si>
    <t>Melaleuca ECO</t>
  </si>
  <si>
    <t>B3 Barrier Booster</t>
  </si>
  <si>
    <t>“Soothe irritation. Revive radiance.”</t>
  </si>
  <si>
    <t>Rebuilds, rebalances, and renews — strengthens your skin’s barrier, evens tone, and soothes acne and redness for visibly calmer, brighter, and healthier skin.</t>
  </si>
  <si>
    <t>Niacinamide (Vitamin B3)  energizes skin cells, reinforces barrier repair, and rebalances oil and inflammation for total complexion renewal.</t>
  </si>
  <si>
    <t>Strengthens skin barrier by stimulating ceramide, filaggrin, and keratin synthesis
Improves hydration and elasticity by regulating Aquaporin 3 and lipid balance
Reduces transepidermal water loss, leaving skin supple and resilient
Reduces hyperpigmentation by blocking melanosome transfer to keratinocytes
Diminishes dullness and sallowness caused by oxidative glycation
Protects against blue light damage and photoaging
Reduces pustules, papules, and comedones through IL-6, IL-8, and TNF-α down-regulation
Soothes redness, rosacea, and atopic dermatitis for a calm, clear complexion</t>
  </si>
  <si>
    <t>92 % showed reduced redness in 2 weeks.
89 % noticed smoother, clearer tone.</t>
  </si>
  <si>
    <t>Niacinimide</t>
  </si>
  <si>
    <t>AgeDefense Booster</t>
  </si>
  <si>
    <t>“Defend your youth daily.”</t>
  </si>
  <si>
    <t>Brightens, firms, and protects — a daily age-defense booster that reverses visible aging, restores glow, and shields your skin from UV and blue-light stress.</t>
  </si>
  <si>
    <t>Trans-Resveratrol — a powerful polyphenol antioxidant that prevents oxidative damage, delays aging, and defends against UV-induced cellular stress.
Pomegranate (Punica granatum) Seed Oil — rich in punicic acid and ellagic acid, providing regenerative, moisturizing, and firming actions while enhancing collagen synthesis and skin elasticity</t>
  </si>
  <si>
    <t>Prevents premature skin aging by protecting against photoaging and UV damage, reducing tissue breakdown
Enhances firmness and smoothness, restoring youthful density by stimulating collagen and fibroblast activity,
Reduces visible fine lines and wrinkles over time
Whitens and evens skin tone by targeting hyperchromia (age spots, melasma)
Protects from blue-light–induced damage, helping maintain uniform tone
Fades dark spots and boosts natural glow with regular us
Promotes skin renewal and recovery by stimulating fibroblast proliferation
Supports hydration and barrier repair, leaving skin supple and radiant
Helps treat acne due to pomegranate’s antifungal and antibacterial properties</t>
  </si>
  <si>
    <t>90 % reported smoother, more radiant skin in 2 weeks.</t>
  </si>
  <si>
    <t>Resveratrol</t>
  </si>
  <si>
    <t>DermaRepair Booster</t>
  </si>
  <si>
    <t>“Heal. Calm. Rebuild.”</t>
  </si>
  <si>
    <t>Heals, calms, and renews — a restorative booster that accelerates recovery, reduces redness, and rebuilds the skin barrier for smoother, healthier, more resilient skin.</t>
  </si>
  <si>
    <t>Curcumin — a potent antioxidant and anti-inflammatory from turmeric that accelerates healing, calms irritation, and supports tissue regeneration.
Aloe Vera Extract — rich in polysaccharides and glycosaminoglycans, it hydrates, soothes, and restores the skin barrier while stimulating fibroblast and collagen activity.
Rosehip Oil (Rosa Canina) — abundant in omega-3, 6, and 9 fatty acids, plus ascorbic acid, it nourishes, regenerates, and reduces scarring by promoting collagen fiber formation</t>
  </si>
  <si>
    <t>Accelerates skin recovery and wound healing, ideal for post-peel or post-treatment care.
Rebuilds damaged skin structure by promoting cellular renewal and collagen synthesis, 
Reduces erythema, lesions, and scaling in conditions like psoriasis and dermatitis.
Fades scars and dark marks, restoring smooth, even skin texture.
Calms redness, itching, and irritation with powerful natural anti-inflammatory compounds.
Balances the skin microbiome, minimizing fungal or bacterial irritation.
Protects from photoaging by absorbing UVB rays and neutralizing free radicals
Deeply moisturizes and improves barrier function through enhanced lipid synthesis.
Restores suppleness and elasticity in dry, compromised skin.
Fortifies against moisture loss, keeping skin smooth and resilient.</t>
  </si>
  <si>
    <t>Calms inflammation and irritation in sensitive or damaged areas.
Improves smoothness and elasticity in chronic dryness or psoriasis.</t>
  </si>
  <si>
    <t>96 % experienced faster recovery and comfort improvement.</t>
  </si>
  <si>
    <t>Skin Therapy</t>
  </si>
  <si>
    <t>Rejuva-Retinol Booster</t>
  </si>
  <si>
    <t>“Renew the years. Reveal the glow.”</t>
  </si>
  <si>
    <t>Smooths, firms, and renews — a breakthrough retinol booster that rebuilds collagen, refines skin texture, and restores a radiant, youthful glow with every use.</t>
  </si>
  <si>
    <t>Retinol (Vitamin A) — a clinically proven gold-standard molecule for anti-aging and cellular renewal, 3.3× stronger collagen protection, and 14× greater cellular longevity activity compared to free retinol</t>
  </si>
  <si>
    <t xml:space="preserve">Visibly reduces wrinkles and fine lines within 30 days of use (64 % improvement in clinical study).
Restoring firmness and elasticity by boosting collagen and elastin synthesis, 
Diminishing dullness and photoaging by improving epidermal turnover,
Improves skin density and tone uniformity, refining pores and smoothing texture.
Reduces acne vulgaris and post-acne marks by regulating keratinization and inflammation.
Improving hydration and suppleness by increasing natural hyaluronic acid production, improving hydration and suppleness.
Enhances skin barrier function by protecting against oxidative damage and enhances skin barrier function.
</t>
  </si>
  <si>
    <t>Reduces expression lines.
Boosts collagen for firmer, smoother skin around the eye contour.
Refines texture and restores glow.</t>
  </si>
  <si>
    <t>Visibly reduces wrinkles and fine lines within 30 days of use
85 % saw visibly smoother, brighter skin.</t>
  </si>
  <si>
    <t>Retinol</t>
  </si>
  <si>
    <t>KojicClear Booster</t>
  </si>
  <si>
    <t>“Lighten. Brighten. Balance.”</t>
  </si>
  <si>
    <t>Lightens, brightens, and perfects — a daily radiance booster that visibly fades dark spots, evens skin tone, and unveils a smooth, luminous glow.</t>
  </si>
  <si>
    <t>Kojic Acid &amp; Licorice Extract provides a gentle yet powerful brightening and anti-aging effect with daily use.</t>
  </si>
  <si>
    <t>Fades dark spots and uneven tone for visibly brighter, more luminous skin.
Reduces melasma and post-inflammatory pigmentation safely, without irritation.
Boosts clarity and glow, restoring a soft, porcelain-smooth finish.
Protects against dullness and discoloration caused by sun exposure and aging.
Improves elasticity and fine lines, leaving skin firm, radiant, and hydrated.</t>
  </si>
  <si>
    <t>89 % of users reported brighter, more even tone within 2 weeks.
83 % noticed a visible reduction in dark spots and pigmentation.
95 % said their skin felt softer, more hydrated, and radiant.</t>
  </si>
  <si>
    <t>Kojic Acid</t>
  </si>
  <si>
    <t>Root Revive Booster</t>
  </si>
  <si>
    <t>“Reignite your hair’s life cycle.”</t>
  </si>
  <si>
    <t>Awaken your roots — a revolutionary booster that reignites the growth cycle, fortifies each strand, and restores the confidence of full, strong, lustrous hair. Like a reset button for your scalp, it revives the energy of youth from root to tip.</t>
  </si>
  <si>
    <t>Hydrolyzed Pea Protein · European Larch Extract · Green Tea Extract (EGCG) · Glycine · Zinc · Glycerin</t>
  </si>
  <si>
    <t>Reactivates the hair growth cycle: awakens dormant follicles and accelerates the return to the anagen (growth) phase.
Reduces hair loss and shedding by nourishing the follicle root and prolonging hair longevity.
Boosts density and volume: visibly thicker, fuller hair within weeks.
Stimulates stem cell activity in the dermal papilla, supporting continuous growth and stronger roots.
Prevents breakage and protects strands from oxidative damage and environmental stress.
Balances sebum and soothes the scalp, reducing dandruff and irritation for a healthy foundation.</t>
  </si>
  <si>
    <t>86 % of users noticed less hair shedding within 14 days.
92 % reported denser, stronger hair after 4 weeks.
95 % felt improved scalp comfort and freshness.</t>
  </si>
  <si>
    <t>R-Growth (Scalp)</t>
  </si>
  <si>
    <t>Grayless Booster</t>
  </si>
  <si>
    <t>“Reverse time. Restore color.”</t>
  </si>
  <si>
    <t>Turn back time — Grayless revives your natural pigment and reignites the vitality of youth within every strand. From dull and silvered to radiant and rich, it restores confidence and color with every use.</t>
  </si>
  <si>
    <t>Hydrolyzed Pea Protein · European Larch Extract · Green Tea Extract (EGCG) · N-Acetyl Tyrosine · Zinc · Glycine</t>
  </si>
  <si>
    <t>Prevents new gray hairs from forming by protecting and reactivating melanocyte cells (pigment producers).
Stimulates new growth by energizing follicle stem cells and prolonging the hair growth phase.
Strengthens and densifies hair, reducing breakage and increasing resistance.
Improves scalp vitality and microcirculation for long-term hair wellness.
Smooths and softens texture, leaving hair luminous, hydrated, and younger-looking.</t>
  </si>
  <si>
    <t>91 % noticed their gray hair returning to its natural color.
88 % reported thicker, stronger hair.
82 % saw fewer new gray strands.
82 % experienced increased hair growth and improved texture.
79 % noticed less shedding and better resistance</t>
  </si>
  <si>
    <t>Grayless</t>
  </si>
  <si>
    <t>Eye Radiance Booster</t>
  </si>
  <si>
    <t>“Erase the shadows of time.”</t>
  </si>
  <si>
    <t>Illuminate your gaze — a rejuvenating blend that awakens tired eyes, fades shadows, and restores youthful light. Each drop melts into the skin to lift, hydrate, and revive — revealing eyes that look truly rested, radiant, and alive.</t>
  </si>
  <si>
    <t>Mandarin Essential Oil · Sage Essential Oil · Palmarosa Essential Oil · Arnica Montana Oil · Chamomile Oil</t>
  </si>
  <si>
    <t>Lightens dark circles by improving microcirculation and reducing pigment accumulation.
Visibly reduces puffiness and under-eye bags for a well-rested, lifted look.
Smooths expression lines, softening the delicate eye contour.</t>
  </si>
  <si>
    <t>94 % reported brighter, more illuminated under-eyes.
91 % saw reduced puffiness and smoother contour.
89 % noticed diminished fine lines and fatigue signs.</t>
  </si>
  <si>
    <t>Luminous Eyes</t>
  </si>
  <si>
    <t>Marks Erase Booster</t>
  </si>
  <si>
    <t>“Erase marks. Embrace glow.”</t>
  </si>
  <si>
    <t>Restore and renew — a rich regenerative booster powered by rosehip and vitamin E to fade stretch marks, smooth scars, and reveal baby-soft, luminous skin. It’s a daily ritual of renewal that transforms dryness and fatigue into velvet radiance.</t>
  </si>
  <si>
    <t>Rosehip Oil (Rosa Canina Fruit Oil) ·  Trans-Retinoic Acid (Vitamin A derivative)</t>
  </si>
  <si>
    <t>Regenerates and renews tired or damaged skin for a smoother, more youthful texture.
Reduces fine lines and surface wrinkles with the natural retinoic action of rosehip oil.
Improves tone and luminosity, restoring a healthy, even glow.
Hydrates deeply, rebuilding the lipid barrier for lasting softness.
Visibly diminishes sun damage and dark spots for clearer, more radiant skin.</t>
  </si>
  <si>
    <t>Fades and prevents stretch marks, enhancing skin elasticity and cell regeneration.
Improves recovery of scars and post-surgical marks, leaving the skin supple and uniform.
Restores smoothness and vitality to areas affected by dryness, burns, or irritation.
Nourishes and strengthens skin tissues, preventing premature aging and slackness.</t>
  </si>
  <si>
    <t>93 % reported smoother, more supple skin after 2 weeks.
88 % saw visible reduction in stretch-mark depth and color within 30 days.
91 % noticed brighter tone and improved overall elasticity</t>
  </si>
  <si>
    <t>Rose Hips</t>
  </si>
  <si>
    <t>Oil Balance+ Booster</t>
  </si>
  <si>
    <t>“Sustainable clarity for skin &amp; scalp.”</t>
  </si>
  <si>
    <t>Clarify and balance — a refreshing botanical blend that resets oily skin and scalp. It mattifies, purifies, and calms, leaving a clean, weightless feel and a healthy, lasting glow of balance.</t>
  </si>
  <si>
    <t>Pumpkin Seed Oil (Vitamin A &amp; Zinc) · Rosemary Essential Oil · Sage Essential Oil · Peppermint Essential Oil · Chamomile Oil (α-Bisabolol) · Panthenol (Vitamin B5)</t>
  </si>
  <si>
    <t>Balances sebum production and minimizes shine for a long-lasting matte finish.
Purifies pores and refines texture, reducing breakouts linked to excess oil.
Soothes and refreshes the skin while calming inflammation and redness.
Strengthens barrier resilience and keeps skin smooth, hydrated, and clear.</t>
  </si>
  <si>
    <t>Controls scalp oiliness and refreshes roots without over-drying.
Helps reduce dandruff and scalp irritation through gentle antibacterial action.
Improves scalp comfort and extends freshness between washes.
Supports healthier, stronger hair growth by maintaining a balanced scalp ecosystem.</t>
  </si>
  <si>
    <t>93 % reported visibly reduced shine and oil build-up.
88 % saw fewer breakouts and smoother skin.
85 % experienced fresher, lighter scalp sensation for longer.</t>
  </si>
  <si>
    <t>Oil Control ECO</t>
  </si>
  <si>
    <t>Clear &amp; Calm Booster</t>
  </si>
  <si>
    <t>“Fresh skin. Calm balance.”</t>
  </si>
  <si>
    <t>Fresh, calm, and confident —  restores your natural equilibrium, purifying pores, soothing irritation, and keeping you clean and comfortable all day. It’s the new era of aluminum-free confidence: pure, gentle, and powerful.</t>
  </si>
  <si>
    <t>Magnesium Hydroxide · Magnesium Carbonate · Panthenol (Vitamin B5)</t>
  </si>
  <si>
    <t>Minimizing oiliness and breakouts by Purifying and balances the skin’s pH, 
Soothes irritation and redness, especially for acne-prone or sensitive skin.
Hydrates deeply, helping maintain smoothness and elasticity.
Refines tone and texture, leaving a healthy matte finish and even complexion.</t>
  </si>
  <si>
    <t>24-hour odor protection without irritation — neutralizes bacteria that cause body odor while respecting the skin’s natural flora.
Deodorizes and refreshes for long-lasting dryness and comfort.
Softens and smooths underarms and body skin, preventing post-shave irritation.
Calms inflammation after sun, friction, or hair removal exposure.</t>
  </si>
  <si>
    <t>87 % felt fresher, smoother, more hydrated skin.
81 % saw reduced oiliness, calmer acne, and refined tone.
24-hour deodorant efficacy proven — odor neutralization maintained through a full day of activity.</t>
  </si>
  <si>
    <t>Magnesium</t>
  </si>
  <si>
    <t>Energize+ Booster</t>
  </si>
  <si>
    <t>“Revive your glow.”</t>
  </si>
  <si>
    <t>Energize your skin from within — activates circulation, firms contours, and revives your natural glow. From eyes to body, it smooths, tightens, and awakens — pure vitality in every drop.</t>
  </si>
  <si>
    <t>Caffeine · Panthenol (Vitamin B5)</t>
  </si>
  <si>
    <t>Brightens and energizes tired skin.
Firms and smooths for more toned, resilient texture.
Protects from photoaging and UV-induced damage.
Refines skin texture, revealing a healthy glow.</t>
  </si>
  <si>
    <t>Visibly firms and tones areas prone to cellulite by stimulating fat breakdown.
Reduce localized swelling by Improving microcirculation and helping flush out toxins
Smooths uneven “orange-peel” texture, enhancing contour definition.
Protects skin from photoaging, improving resilience and elasticity.</t>
  </si>
  <si>
    <t>Deflates under-eye bags and diminishes dark circles caused by fatigue and congestion.
Revives brightness and restores a refreshed, youthful look.</t>
  </si>
  <si>
    <t>93 % reported firmer, smoother body skin.
90 % saw reduction in puffiness and dark circles.
87 % noticed visibly improved tone and brightness.</t>
  </si>
  <si>
    <t>Caffeine ECO</t>
  </si>
  <si>
    <t>Firm+ Booster</t>
  </si>
  <si>
    <t>Tighten. Strengthen. Transform.”</t>
  </si>
  <si>
    <t>Lift. Firm. Transform. —  It delivers instant tightening and long-term rejuvenation. Powered by hyaluronic acid and acacia peptides, it smooths wrinkles, restores elasticity, and reveals skin that feels lifted, youthful, and alive.</t>
  </si>
  <si>
    <t>Hyaluronic Acid (Low Molecular Weight) · Acacia Senegal Extract · Calcium Pantothenate (Vitamin B5)</t>
  </si>
  <si>
    <t>Instant firming and lifting — visibly tightens the skin and redefines facial contours within minutes.
Reduces wrinkle depth and smooths fine lines through moisture infusion and cellular support.
Boosts elasticity and firmness by stimulating collagen I &amp; III synthesis.
Deeply hydrates and plumps, leaving the skin supple, soft, and radiant.
Protects against oxidative stress and prevents premature aging.</t>
  </si>
  <si>
    <t>Instantly smooths and lifts delicate eye contours.
Reduces crow’s feet and fatigue lines, restoring brightness and definition.
Rehydrates and revitalizes for a firmer, fresher gaze.</t>
  </si>
  <si>
    <t>100 % showed visible improvement in firmness and overall skin appearance.
67 % experienced a measurable increase in skin tension (+17 % on average).
Visible lifting effect within minutes, progressive results with daily use.</t>
  </si>
  <si>
    <t>Up Lift PF</t>
  </si>
  <si>
    <t>Fill+ Booster</t>
  </si>
  <si>
    <t>“Plump. Firm. Radiate.”</t>
  </si>
  <si>
    <t>Fill, firm, and flourish — It merges vegan collagen and hyaluronic acid to deliver visible plumping, firmness, and deep hydration. It revives facial volume, lifts contours, and restores youthful resilience, making every feature look smoother, fuller, and radiant.</t>
  </si>
  <si>
    <t>Vegan Collagen · Hyaluronic Acid (Sodium Hyaluronate) · Algin · Mannose · Glucose</t>
  </si>
  <si>
    <t>Instantly plumps and smooths the skin’s surface, reducing fine lines and wrinkles.
Restores elasticity and firmness, visibly lifting sagging areas like cheeks and jawline.
Fills and redefines facial volume, especially around the lips and cheekbones.
Provides long-lasting hydration by locking in moisture at multiple skin layers.
Improves skin tone and radiance, restoring the look of healthy, youthful vitality.</t>
  </si>
  <si>
    <t>Improves elasticity and smoothness in dry or delicate areas like neck, hands, and décolletage.
Enhances definition and softness in lip contour areas, reducing “barcode” lines.
Rebuilds resilience in areas prone to dehydration or sagging.</t>
  </si>
  <si>
    <t>Reduces drooping of eyelids and smooths fine lines around the eyes.
Hydrates delicate skin, restoring firmness and elasticity.
Softens expression lines for a refreshed, lifted look.</t>
  </si>
  <si>
    <t>87 % reduction in eyelid drooping.
87 % improvement in wrinkle and expression-line filling.
84 % increase in firmness and elasticity.
81 % enhancement in skin smoothness and brightness.</t>
  </si>
  <si>
    <t>Hyalocollagreen</t>
  </si>
  <si>
    <t>Hydra-Fill Booster</t>
  </si>
  <si>
    <t>“Hydrate. Plump. Perfect.”</t>
  </si>
  <si>
    <t>Quench. Plump. Glow. — Hyaluronic Hydra-Fill Booster floods the skin with lasting hydration, smoothing lines and restoring bounce from within. It delivers instant radiance, deep moisture, and a youthful, supple finish — the ultimate drink of life for your skin and hair.</t>
  </si>
  <si>
    <t>Sodium Hyaluronate (Hyaluronic Acid)</t>
  </si>
  <si>
    <t>Deep hydration at every level — locks in moisture and restores the skin’s natural plumpness.
Visibly smooths fine lines and wrinkles, filling and firming from within.
Enhances elasticity and suppleness for skin that feels soft, lifted, and renewed.
Boosts radiance and vitality, reviving a dewy, luminous glow.
Supports long-term anti-aging by protecting against free radical and environmental stress.</t>
  </si>
  <si>
    <t>Hydrates and smooths dry, frizzy, or chemically treated hair.
Improves elasticity and shine, reducing breakage.
Fills and seals porous strands for a healthy, glossy finish.</t>
  </si>
  <si>
    <t>Rehydrates delicate under-eye skin, reducing crepiness and dryness.
Softens crow’s feet and expression lines for a smoother, fresher appearance.
Restores a healthy bounce and glow to tired eyes.</t>
  </si>
  <si>
    <t>94 % experienced instant hydration and smoother texture after first use.
91 % saw visibly plumper, more elastic skin within 14 days.
87 % reported improved softness and radiance.
82 % noticed reduced appearance of wrinkles and dryness lines.</t>
  </si>
  <si>
    <t>Hyaluronic Acid ECO</t>
  </si>
  <si>
    <t>Relief Booster</t>
  </si>
  <si>
    <t>“Soothe pain. Restore peace.”</t>
  </si>
  <si>
    <t>Soothe. Restore. Renew. — Relief Muscle &amp; Comfort Booster melts away tension and revives circulation with the natural power of birch and vetiver. It eases soreness, cools fatigue, and leaves skin refreshed, supple, and energized — your daily ritual of deep comfort and calm.</t>
  </si>
  <si>
    <t>Sweet Birch Essential Oil (Methyl Salicylate) · Vetiver Root Oil (Vetiverol &amp; Sesquiterpenes) · Murumuru Seed Butter · Panthenol (Vitamin B5)</t>
  </si>
  <si>
    <t>Soothes tight, inflamed, or sensitive areas, reducing localized discomfort.
Helps decongest fluid retention in jawline or under-eye zones when used in massage applications.</t>
  </si>
  <si>
    <t>Relieves muscle tension and soreness, soothing tired legs, shoulders, and back after stress or exercise.
Reduces swelling and heaviness, restoring comfort and flexibility.
Improves circulation to oxygenate and energize tired limbs.
Provides after-sun and post-shave comfort, calming irritation and heat.
Accelerates skin recovery from minor burns, dryness, and fatigue.</t>
  </si>
  <si>
    <t xml:space="preserve">100 % felt muscle relaxation and improved comfort.
86 % reported reduced swelling and leg fatigue.
57 % experienced noticeable increase in lightness and relief within one hour of use.
</t>
  </si>
  <si>
    <t>Relief ECO</t>
  </si>
  <si>
    <t>Redensifier Booster</t>
  </si>
  <si>
    <t>“Rebuild. Restore. Redefine.”</t>
  </si>
  <si>
    <t>Rebuild what time erased — It renews the density of both skin and hair with the power of plant proteins and bioactive extracts. It restores firmness, fills from within, and revives natural volume and resilience for a visibly youthful transformation, from face to strand.</t>
  </si>
  <si>
    <t>Hydrolyzed Pea Protein · Hyaluronic Acid · Comfrey Extract · Onion Extract</t>
  </si>
  <si>
    <t>Redensifies and restores skin volume, visibly filling and firming from within.
Smooths wrinkles and expression lines, redefining natural facial contours.
Improves elasticity and strength, delivering a firmer, more lifted appearance.
Deeply hydrates and softens, enhancing glow and suppleness.
Stimulates cell renewal, supporting smoother texture and youthful tone.</t>
  </si>
  <si>
    <t>Improves the texture and resilience of skin in areas prone to thinning or dryness.
Enhances smoothness and firmness for a more even tone and touch.</t>
  </si>
  <si>
    <t>Restores hair density and thickness, rebuilding lost mass and strength.
Repairs and nourishes damaged strands from root to tip.
Realigns the hair fiber, eliminating frizz and restoring smoothness.
Increases shine, elasticity, and resistance against breakage.
Protects color and vitality, leaving hair full-bodied, soft, and radiant.</t>
  </si>
  <si>
    <t>81 % noticed visibly fuller, stronger hair.
81 % observed smoother, more hydrated skin.
77 % saw facial contour redefinition and elasticity improvement.
74 % reported softer texture and visible volume restoration.</t>
  </si>
  <si>
    <t>Redensifier</t>
  </si>
  <si>
    <t>Defend+ Booster</t>
  </si>
  <si>
    <t>“Stronger strands. Brighter skin.”</t>
  </si>
  <si>
    <t>Protect. Restore. Illuminate. — Protection ECO Booster is your all-in-one shield for hair and skin. Powered by green tea and soy protein, it strengthens from root to tip, smooths texture, and restores luminous shine — while defending against UV, pollution, and time.</t>
  </si>
  <si>
    <t>Green Tea Extract (Camellia sinensis) · Soy Protein · Panthenol</t>
  </si>
  <si>
    <t>Improves microcirculation, restoring vitality and radiance to dull skin.
Soothes irritation with natural anti-inflammatory power.
Reinforces the skin barrier, leaving a smoother, refreshed texture.</t>
  </si>
  <si>
    <t>Repairs split ends and restores smoothness, sealing the hair cuticle for a silky, touchable finish.
Rebuilds internal fiber structure, strengthening strands from the cortex to the surface.
Promotes natural shine and luminosity for visibly healthier hair.
Encourages growth by stimulating scalp microcirculation and protecting follicles.
Balances oily scalp while providing deep, gentle cleansing.
Acts as a heat shield, protecting against thermal damage from styling tools.</t>
  </si>
  <si>
    <t>92 % reported hair that looked shinier and healthier after 2 weeks.
88 % saw visibly reduced split ends and smoother texture.
83 % noticed less frizz and better scalp balance.
81 % experienced brighter, more radiant skin tone.</t>
  </si>
  <si>
    <t>Protection ECO</t>
  </si>
  <si>
    <t>Lash Bloom Booster</t>
  </si>
  <si>
    <t>Let your eyes speak volumes — It awakens dormant follicles to grow longer, denser, and healthier lashes and brows. Infused with Brazilian Jaborandi, it strengthens from the root, nourishes every strand, and unveils the natural beauty of your gaze — bold, defined, and irresistibly alive.</t>
  </si>
  <si>
    <t>Jaborandi Extract (Pilocarpus Microphyllus) · Pro-Vitamin B5 (Panthenol) · Algin</t>
  </si>
  <si>
    <t>Stimulates hair growth, visibly enhancing length and volume.
Strengthens from root to tip, preventing breakage and loss.
Activates the hair bulb, improving follicle vitality and regeneration.
Improves density and definition, giving hair a naturally fuller, darker look.</t>
  </si>
  <si>
    <t>Stimulates lash and brow growth, visibly enhancing length and volume.
Strengthens from root to tip, preventing breakage and loss.
Activates the hair bulb, improving follicle vitality and regeneration.
Improves density and definition, giving lashes a naturally fuller, darker look.
Hydrates and nourishes, leaving lashes soft, flexible, and glossy.</t>
  </si>
  <si>
    <t>97 % noticed visible lash and brow growth.
94 % saw increased thickness and fullness.
97 % experienced stronger, healthier lashes and brows.</t>
  </si>
  <si>
    <t>Eyelashes ECO</t>
  </si>
  <si>
    <t>Lux Shine Booster</t>
  </si>
  <si>
    <t>“Shine stronger every day.”</t>
  </si>
  <si>
    <t>Rebuild your beauty from the tropics — Caribbean Oil restores strength, shine, and vitality with pure Batana oil, the legendary “Ojon secret” of the Caribbean. It melts into the hair, sealing damage, reviving gloss, and protecting from everyday stress — pure island luxury for your strands.</t>
  </si>
  <si>
    <t>Batana Oil (Elaeis Oleifera Kernel Oil) · Vitamin E (Tocopheryl Acetate)</t>
  </si>
  <si>
    <t>Deeply nourishes and softens dry skin, restoring elasticity and comfort.
Protects from environmental dehydration, leaving a subtle, radiant glow.</t>
  </si>
  <si>
    <t>Intense repair for dry, damaged, and brittle hair, restoring strength from root to tip.
Rebuilds hair fiber and replenishes essential lipids for a smoother, silkier texture.
Restores lost shine and vitality, revealing a glossy, healthy finish.
Protects against daily aggressions — UV rays, pollution, and heat styling.
Prevents split ends and seals cuticles for long-lasting softness.
Revives color and vibrancy, enhancing natural tone and luminosity.</t>
  </si>
  <si>
    <t>94 % reported visibly smoother, shinier hair after the first week.
89 % experienced stronger strands with reduced breakage.
87 % noticed improved softness and manageability.
82 % felt immediate protection and reduced frizz after use.</t>
  </si>
  <si>
    <t>Carribean Oil</t>
  </si>
  <si>
    <t>Liss Repair &amp; Shield Booster</t>
  </si>
  <si>
    <t>“Smooth. Protect. Shine.”</t>
  </si>
  <si>
    <t>Smooth, sleek, and stunning — It transforms unruly hair into glossy perfection. Activated by gentle heat or air-dry styling, it repairs, protects, and disciplines every strand, restoring the look of salon-smooth hair with lasting softness and radiant shine.</t>
  </si>
  <si>
    <t>Onion Extract · Urea</t>
  </si>
  <si>
    <t>Smooths and disciplines frizz for sleek, manageable, and humidity-resistant hair.
Temporarily straightens strands through gentle, heat-activated alignment — no harsh chemicals required.
Deeply repairs and restores damaged fibers from the inside out, improving elasticity and shine.
Protects against color fading and heat damage, maintaining vibrancy and resilience.
Strengthens the hair structure, increasing density and smoothness with continued use.
Soothes and hydrates dry or sensitive scalp areas with urea and glycerin’s moisture-balancing power.
Supports healthy regrowth by improving scalp comfort and hydration.</t>
  </si>
  <si>
    <t>100 % saw repaired hair surface after just one application.
96 % reported visible frizz reduction and smoother strands.
90 % noticed increased shine and softness lasting up to five washes.
88 % observed more manageable styling and less breakage.</t>
  </si>
  <si>
    <t>Liss</t>
  </si>
  <si>
    <t>Renew &amp; Heal Booster</t>
  </si>
  <si>
    <t>“Heal beautifully.”</t>
  </si>
  <si>
    <t>Heal. Calm. Renew. — Skin Healthier Repair Booster restores your skin’s natural strength and serenity. Infused with Aloe, Chamomile, and Onion extracts, it regenerates, soothes, and brightens, unveiling skin that feels reborn — soft, smooth, and radiantly healthy.</t>
  </si>
  <si>
    <t>Aloe Vera Extract · Chamomile Extract · Onion Extract</t>
  </si>
  <si>
    <t>Accelerates skin regeneration, helping heal post-acne marks, irritation, and redness.
Soothes inflammation and sensitivity, leaving skin calm, fresh, and balanced.
Minimizes scars and blemishes, restoring smooth texture and even tone.
Hydrates deeply while reinforcing the skin barrier for long-lasting comfort.
Protects against environmental stress with natural antioxidant action.</t>
  </si>
  <si>
    <t>Promotes wound healing and improves the appearance of stretch marks or minor burns.
Softens rough or damaged skin, enhancing elasticity and smoothness.
Reduces inflammation from shaving, waxing, or sun exposure.
Ideal post-procedure care for calming and renewing sensitized skin.</t>
  </si>
  <si>
    <t>92 % reported visibly smoother, calmer skin after 7 days.
89 % saw improvement in scars and post-acne marks after 2 weeks.
85 % noticed better hydration and comfort throughout the day.
Safe for all skin types, including sensitive and post-procedure use.</t>
  </si>
  <si>
    <t>Skin Healthier ECO</t>
  </si>
  <si>
    <t>Plumping Booster</t>
  </si>
  <si>
    <t>“Volume reborn. Harmony restored.”</t>
  </si>
  <si>
    <t>Fill. Firm. Flourish. — Plumping Fill &amp; Firm Booster restores your natural fullness and harmony by awakening the skin’s own volume-building potential. Infused with sesame extract and hyaluronic acid, it enhances lips, lifts contours, and revives youthful density — a non-invasive glow of renewal.</t>
  </si>
  <si>
    <t>Sesamum Indicum (Sesame) Seed Extract · Hyaluronic Acid · Vitamin E</t>
  </si>
  <si>
    <t>Visibly fills and restores lost volume in lips, cheeks, and facial contours for a youthful, balanced look.
Reduces expression lines and wrinkles, especially around the lips and mouth area.
Lifts and firms sagging skin, improving elasticity and redefining natural harmony.
Smooths perioral lines (“lip creases”) without injections — naturally refines lip edges.
Deeply hydrates and plumps, enhancing skin density and radiance.
Delivers an instantly supple, soft, and firm finish with long-term anti-aging results.</t>
  </si>
  <si>
    <t>Naturally enhances lip volume and contour, creating a fuller, more defined pout.
Smooths surface lines for visibly softer, hydrated, and luminous lips.
Boosts firmness and texture without irritation or tingling.
Improves elasticity and firmness in delicate areas such as the hands and neck.
Restores density and smoothness, reducing crepiness and fine wrinkles.</t>
  </si>
  <si>
    <t>95 % noticed visible improvement in firmness and volume.
89 % reported smoother, fuller lips and facial contours.
85 % saw wrinkle reduction and plumper texture.
83 % observed more hydrated, radiant skin.
Clinically proven safe for daily use on lips, face, and neck.</t>
  </si>
  <si>
    <t>Plumping</t>
  </si>
  <si>
    <t xml:space="preserve">Volume Sculpt Booster </t>
  </si>
  <si>
    <t>“Volume without needles.”</t>
  </si>
  <si>
    <t>L-Ornithine · Phospholipids · Glycolipids</t>
  </si>
  <si>
    <t>Sculpt your curves and contours — Adipofill’in™ Volume Sculpt Booster awakens your skin’s natural capacity to restore volume and harmony. With L-Ornithine and lipid-based delivery, it mimics a gentle lipofilling effect — plumping cheeks, smoothing wrinkles, and redefining the bust for visible fullness, confidence, and femininity.</t>
  </si>
  <si>
    <t>L-Ornithine</t>
  </si>
  <si>
    <t xml:space="preserve">Restores youthful fullness by reactivating the skin’s natural adipose support — filling hollows, lifting contours, and smoothing deep wrinkles.
Visibly plumps and firms areas affected by sagging, such as cheeks, nasolabial folds, and jawline.
Improves elasticity and skin density, redefining structure for a naturally sculpted look.
Reduces nasolabial folds by up to 37 % and improves smoothness by over 27 %, clinically proven in 60 days </t>
  </si>
  <si>
    <t>Enhances firmness and tone in areas prone to volume loss such as neck, hands, and décolleté.
Non-invasive lipofilling effect, ideal for body contours requiring plumpness and elasticity (breasts, buttocks, or hands).</t>
  </si>
  <si>
    <t>Softens fine lines and perioral wrinkles (“barcode” lines) for a smoother lip contour.
Fills under-eye hollows and minimizes dark circles linked to structural volume loss.
Enhances lip volume naturally, for a soft, youthful pout without irritation.</t>
  </si>
  <si>
    <t>37.6 % reduction in wrinkle depth
90 % felt visibly firmer and lifted skin
80 % noticed plumper facial volume
Increased up to 7 % in breast volume, and 65 % reported firmer, rounder, and more voluminous appearance</t>
  </si>
  <si>
    <t xml:space="preserve">Adipofill’in™ </t>
  </si>
  <si>
    <t>Goji Exosome Renew Booster</t>
  </si>
  <si>
    <t>“Activate the cells that lift you.”</t>
  </si>
  <si>
    <t>Lycium Barbarum (Goji) Stem Cell Extract · Isomalt · Lecithin · Aqua / Water</t>
  </si>
  <si>
    <t>Revive your youth from the outside — and the inside.
PhytoCellTec™ Exosome Dual Renewal Booster harnesses the regenerative intelligence of goji stem cell exosomes to awaken your skin’s own repair messengers. It fortifies the barrier, firms contours, smooths wrinkles, and lifts curves — delivering a visibly sculpted, radiant transformation that feels alive with renewal.</t>
  </si>
  <si>
    <t>Lycium Barbarum (Goji) Stem Cell Extract</t>
  </si>
  <si>
    <t>Firms and lifts the skin by stimulating collagen and elastin synthesis through dual exosome signaling.
Restores skin density and elasticity, improving the V-shaped facial contour by up to 6 % in 28 days.
Reduces wrinkle depth by 11 %, visibly smoothing fine and deep lines around the eyes.
Improves hydration and barrier strength, protecting against dryness, UV, and pollution.</t>
  </si>
  <si>
    <t>Lifts and tones sagging areas such as the neck, jawline, and décolleté.
Enhances firmness and elasticity of the bust, improving lift by +1.7 % and reducing sagging by 33 % after 56 days
Improves dermal density by 6 %, visibly restoring structure and smoothness.</t>
  </si>
  <si>
    <t>Minimizes fine wrinkles and crow’s feet, visibly smoothing delicate eye contours.
Strengthens barrier resilience, reducing puffiness and dryness around the eyes.</t>
  </si>
  <si>
    <t>11 % reduction in wrinkle depth
6 % improvement in V-shaped facial contour
90 % reported firmer, smoother, rejuvenated skin
33 % improvement in overall breast firmness
100 % experienced visible lifting and elasticity gains</t>
  </si>
  <si>
    <t>Goji Exosome</t>
  </si>
  <si>
    <t>Redness Relief Booster</t>
  </si>
  <si>
    <t>“Your redness, reversed.”</t>
  </si>
  <si>
    <t>Feverfew (Chrysanthemum Parthenium) Extract · Green Tea (Camellia Sinensis) Extract · Magnolol · Phospholipids · Panthenol</t>
  </si>
  <si>
    <t>Calm the storm beneath your skin.
Redness Relief Booster combines Feverfew, Green Tea, and Magnolol to restore serenity to sensitive, reactive complexions. It cools heat, fades redness, and strengthens your skin’s defenses — for a visibly calmer, clearer, and more balanced glow.</t>
  </si>
  <si>
    <t>Feverfew (Chrysanthemum Parthenium) Extract · Green Tea (Camellia Sinensis) Extract · Magnolol  · Panthenol</t>
  </si>
  <si>
    <t xml:space="preserve">Instantly calms redness and irritation, visibly reducing flushing and discomfort within 30 minutes.
Soothes inflammation and sensitivity, even for rosacea-prone and reactive skin.
Restores balance and comfort, fortifying the skin’s barrier to prevent flare-ups.
Reduces redness caused by heat, UV, pollution, or over-exfoliation by up to 75 % in just 6 hours
Improves hydration and smoothness, leaving skin soft, calm, and resilient.
</t>
  </si>
  <si>
    <t>Soothes and reduces inflammation from shaving, waxing, or allergic reactions.
Accelerates repair of eczema, redness, and sensitivity on the neck and body.
Reduces redness and swelling caused by sunburn or cosmetic irritation.</t>
  </si>
  <si>
    <t>Decongests puffiness and periocular redness caused by sensitivity or allergic stress.
Strengthens fragile capillaries for visibly brighter, calmer under-eye skin.</t>
  </si>
  <si>
    <t>30 min: redness visibly reduced after topical application.
3 hr: marked reduction in red blood streaks and flare intensity.
6 hr: up to 75 % improvement in inflammatory redness and swelling.
Consistent use (2 weeks): skin appears calmer, smoother, and more even-toned.</t>
  </si>
  <si>
    <t>Anti Rosacea factor</t>
  </si>
  <si>
    <t>Soothing Calm Booster</t>
  </si>
  <si>
    <t>“Soothe the flush. Reveal your calm.”</t>
  </si>
  <si>
    <t>Ruscus Aculeatus (Butcher’s Broom) Root Extract · Centella Asiatica Extract · Calendula Officinalis Flower Extract · Horse Chestnut (Aesculus Hippocastanum) Seed Extract · Licorice Root Extract · Yeast Extract (Saccharomyces Cerevisiae) · Panthenol</t>
  </si>
  <si>
    <t>Calm, brighten, and strengthen — Biophytex™ Micro-Circulation &amp; Brightening Booster revives the skin’s vitality from within. It strengthens delicate capillaries, fades redness and shadows, and restores even tone for a complexion that feels calm, fresh, and beautifully alive.</t>
  </si>
  <si>
    <t xml:space="preserve">Ruscus Aculeatus (Butcher’s Broom) Root Extract · Centella Asiatica Extract · Calendula Officinalis Flower Extract · Horse Chestnut (Aesculus Hippocastanum) Seed Extract · Licorice Root Extract · Yeast Extract (Saccharomyces Cerevisiae) </t>
  </si>
  <si>
    <t>Strengthens fragile capillaries and visibly reduces redness, spider veins, and blotches.
Boosts microcirculation, oxygenating dull skin for a healthy, rosy glow.
Soothes sensitive and inflamed skin, minimizing discomfort and tightness.
Promotes an even, luminous tone — transforming tired, uneven skin into a radiant complexion.
Improves skin resilience to environmental stress, temperature changes, and hormonal fluctuations.</t>
  </si>
  <si>
    <t>Reduces visible capillaries and redness on the cheeks, nose, or legs.
Calms post-waxing and shaving irritation, restoring comfort and smoothness.
Supports healthy circulation, ideal for fatigue-prone areas or sensitive skin.</t>
  </si>
  <si>
    <t>Fades under-eye darkness by improving microvascular flow and reducing pigment pooling.
Visibly brightens and refreshes the eye contour, restoring radiance and smoothness.
Reduces dark circles and puffiness under the eyes by enhancing lymphatic drainage.</t>
  </si>
  <si>
    <t>35 % reduction in redness intensity (erythrosis) after 2 weeks.
21 % reduction in visible dark circles after 4 weeks.
65 % reduction in stinging sensation on sensitive skin after 3 weeks.
94 % of volunteers reported improved softness, suppleness, and tolerance.</t>
  </si>
  <si>
    <t>Biophytex LS9832</t>
  </si>
  <si>
    <t>BioPeptite Hair Regen Booster</t>
  </si>
  <si>
    <t>Red Clover (Trifolium pratense) Flower Extract ·
Acetyl Tetrapeptide-3
Dextran · Butylene Glycol · Water</t>
  </si>
  <si>
    <t>Rediscover the power to grow again — thicker, fuller, stronger.
Hair &amp; Lash Regen Booster blends red-clover bio-isoflavones with a next-generation peptide to rejuvenate follicles, rebalance DHT, and restore the anchoring matrix beneath the scalp and lashes.
In just weeks, it visibly reverses thinning, accelerates new growth, and brings back the confidence of density and youth.</t>
  </si>
  <si>
    <t>Red Clover (Trifolium pratense) Flower Extract – rich in Biochanin A
Acetyl Tetrapeptide-3 – biomimetic signal peptide</t>
  </si>
  <si>
    <t>Stops hair loss and awakens dormant follicles, visibly increasing hair density and thickness.
Stimulates new growth by 46 % through a longer anagen (growth) phase and reduced telogen (fall) phase
Reduces scalp inflammation and irritation, soothing follicles for healthy regrowth.</t>
  </si>
  <si>
    <t>Increases lash density by up to 27 % in 8 weeks, with visible thickening and fullness.
Boosts new lash growth by 45 %, reducing shedding and fragility.
Improves lash length 3× in 4 weeks and 5× in 8 weeks, for naturally longer, darker, and more resilient lashes.
Consumer-tested satisfaction: 91 % saw thicker, fuller lashes; 73 % noticed longer lashes; 76 % reported less fall-out</t>
  </si>
  <si>
    <t>Hair Study (4 Months)
+13 % increase in anagen (hair growth phase)
−29 % reduction in telogen (hair fall phase)
+46 % increase in A/T ratio (active follicles)
70 % of volunteers showed visible improvement
Lash Study (8 Weeks)
+27 % lash density
+45 % new lashes
3–5× longer lashes</t>
  </si>
  <si>
    <t>Capixyl</t>
  </si>
  <si>
    <t>Blue Peptide Revive Booster</t>
  </si>
  <si>
    <t>“Heal. Lift. Grow.”</t>
  </si>
  <si>
    <t>Copper Tripeptide-1 (GHK-Cu)</t>
  </si>
  <si>
    <t>The molecule of youth, reborn in blue.
Copper Tripeptide-1 is nature’s intelligent signal peptide — awakening the skin’s regenerative code.
It restores firmness, heals from within, and revives cellular vitality, creating skin that feels stronger, smoother, and unmistakably alive.</t>
  </si>
  <si>
    <t>Visibly tightening and firming the skin by boosting collagen and elastin synthesis.
Reduces fine lines and wrinkles by up to 70 % in 12 weeks, proven to outperform Vitamin C and Retinoic Acid creams in collagen stimulation
Heals and renews damaged skin, accelerating recovery from acne marks, irritation, and sun exposure.
Refines texture and radiance, reducing photoaging and uneven pigmentation.
Balances oil production, ideal for combination or post-procedure skin.</t>
  </si>
  <si>
    <t>Promotes wound and scar repair, supporting skin regeneration after microinjury or exfoliation.
Reduces stretch marks and roughness, leaving skin visibly smoother and more even.
Rebuilds skin resilience after procedures, UV exposure, or irritation.</t>
  </si>
  <si>
    <t>Stimulates new hair growth, increasing follicle vitality by up to 29 %
Strengthens anchoring fibers and delays hair aging, reducing hair fall and breakage.
Enhances scalp healing and microcirculation, balancing oil and reducing inflammation.
Clinical study (16 weeks, 10 ppm): increased hair count and diameter, with visible regrowth on both crown and frontal scalp
.</t>
  </si>
  <si>
    <t>Tightens and smooths delicate eye contours, reducing crow’s feet and crepiness.
Fades dark circles and puffiness through microcirculation enhancement.
Visibly brightens and refreshes tired, aging eyes for a rejuvenated appearance.</t>
  </si>
  <si>
    <t>Skin Studies (8 Weeks):
+70 % collagen production (vs 50 % for Vitamin C, 40 % for Retinoic Acid).
94 % improved elasticity, firmness, and smoothness.
8 weeks: visibly thicker epidermis and increased skin density.
Reduces wrinkles, photodamage, and uneven tone.
Hair Studies (16 Weeks):
+13 % anagen phase / −29 % telogen phase → +46 % growth ratio.
+20 % increase in hair diameter / +25 % in total density.</t>
  </si>
  <si>
    <t xml:space="preserve">Copper Tripeptide-1 </t>
  </si>
  <si>
    <t>Resurrection Hydration Booster</t>
  </si>
  <si>
    <t>“From drought to dewy.”</t>
  </si>
  <si>
    <t>Glyceryl Glucoside (GG) · Glycerin · Water</t>
  </si>
  <si>
    <t>Born from the miracle of resurrection plants that thrive in deserts, It unlocks the secret of survival under stress.
It reawakens your skin’s water channels, strengthens its biological barrier, and restores lasting hydration.
In every drop, it rebuilds moisture networks, protects from UV damage, and revives your skin’s vitality — for a soft, radiant, and ageless glow.</t>
  </si>
  <si>
    <t>Glyceryl Glucoside (GG)</t>
  </si>
  <si>
    <t>Restore deep hydration and improve cellular water flow by up to +25 %
Increases elasticity by 8.3 % and smoothness by 27 % in just 4 weeks.
Strengthens the skin barrier, locking in moisture and protecting from dryness, pollution, and UV damage.
Reduces fine lines and wrinkles by up to 20 % in just 2–4 weeks</t>
  </si>
  <si>
    <t>Repairs damaged skin barrier within 3 weeks, reducing trans-epidermal water loss by up to 40 %
Soothes post-sun or dry skin, rebalancing hydration and cellular repair.
Improves elasticity and smoothness, leaving skin supple, soft, and radiant.</t>
  </si>
  <si>
    <t>Reduces puffiness and redness caused by environmental stress or sensitivity.
Restores suppleness and glow in delicate under-eye skin, reducing dehydration lines.</t>
  </si>
  <si>
    <t>Restore Elasticity &amp; Smoothness  in 4 weeks
+24.9 % skin hydration
+8.3 % elasticity
+27 % smoothness
-20 % wrinkle depth (crow’s feet) within 2 weeks
+93 % smoother texture and hydration
-76 % redness within 48hrs
Reduced inflammation visible within 2 days
Complete barrier recovery after 21 days</t>
  </si>
  <si>
    <t>Extremys GG</t>
  </si>
  <si>
    <t>Pigment Control Booster</t>
  </si>
  <si>
    <t>“Erase dullness, reveal glow.”</t>
  </si>
  <si>
    <t>Undecylenoyl Phenylalanine · Lecithin · Phenethyl Resorcinol · Tocopherol (Vitamin E)</t>
  </si>
  <si>
    <t>Illuminate your skin’s true brilliance — Brightening &amp; Pigment Control Booster corrects uneven tone and prevents future discoloration.
Powered by Undecylenoyl Phenylalanine and Vitamin E, it fades stubborn spots, evens tone, and restores the look of youthful luminosity — your daily light reset.</t>
  </si>
  <si>
    <t>Undecylenoyl Phenylalanine · Phenethyl Resorcinol</t>
  </si>
  <si>
    <t xml:space="preserve">Brightens skin tone and fades dark spots by blocking the melanocyte-stimulating α-MSH pathway.
Targets uneven pigmentation and inhibits tyrosinase and MC1R expression for a luminous, even complexion.
Prevents the formation of new spots while lightening existing discoloration caused by UV exposure, aging, and hormonal imbalance.
Improves overall radiance and clarity within 14 days, delivering a soft-focus glow.
</t>
  </si>
  <si>
    <t>Lightens and smooths sun-exposed areas such as hands, arms, and décolleté.
Reduces pigmentation and uneven tone on knees, elbows, and underarms.
Restores brightness to dull, tired, or UV-damaged skin.</t>
  </si>
  <si>
    <t>Visible brightening within 14 days of use, with continued improvement through 8 weeks.
Significant reduction in UV-induced pigmentation in 87 % of volunteers after 28 days.</t>
  </si>
  <si>
    <t>Genowhite</t>
  </si>
  <si>
    <t>Swiss Power Anti-Glycation Booster</t>
  </si>
  <si>
    <t>“Block oxidation before it begins.”</t>
  </si>
  <si>
    <t>Vitis Vinifera (Swiss Pinot Noir) Seed Extract · Tocopherol (Vitamin E) · PEG-40 Hydrogenated Castor Oil · Glycerin · Aqua</t>
  </si>
  <si>
    <t>More than an antioxidant — it’s a complete defense system. This Anti-Glycation Booster combines Swiss Pinot Noir grape-seed procyanidins and Vitamin E in perfect synergy to protect, soothe, and restore.
It neutralizes free radicals, blocks glycation, calms redness, and strengthens the barrier — revealing skin that feels fresher, firmer, and beautifully resilient.</t>
  </si>
  <si>
    <t>Vitis Vinifera (Swiss Pinot Noir) Seed Extract</t>
  </si>
  <si>
    <t>Prevents collagen stiffening and loss of elasticity by halting the glycation process responsible for premature aging.
Protects lipids and barrier integrity against UV and urban aggressors.
Reduces redness and irritation from stress, heat, and environmental exposure by up to 50 % in just 10 minutes
Improves resilience and glow, restoring a calm, even complexion.
Acts as an “antioxidant shield”, reinforcing both water- and oil-soluble defense systems for total skin protection.</t>
  </si>
  <si>
    <t>Prevents oxidative stress and dryness on exposed areas like arms and legs.
Soothes post-sun redness and supports recovery after UV exposure.
Maintains smoothness and elasticity, ideal for sensitive or environmentally stressed skin.</t>
  </si>
  <si>
    <t>Calms periocular redness and irritation caused by stress or fatigue.
Protects delicate tissue from glycation and oxidative aging, improving tone and brightness.</t>
  </si>
  <si>
    <t>Anti-Glycation: Reduced Glycation formation by 30 %
Anti-Inflammation: Reducing inflammatory mediators by &gt;80 % in vitro.
Immediate Relief: Decreased irritation and redness within 10 min</t>
  </si>
  <si>
    <t>GSP-T</t>
  </si>
  <si>
    <t>MaxClear Booster</t>
  </si>
  <si>
    <t>“Total protection for troubled skin.”</t>
  </si>
  <si>
    <t>4-Terpinenol</t>
  </si>
  <si>
    <t>Nature’s purest rescue for sensitive &amp; acne-prone skin - It combines 96 % Terpinen-4-ol from Australian Tea Tree with botanical antioxidants to purify, soothe, and protect.
It eliminates blemish-causing bacteria, relieves redness, and restores balance — delivering calm, clear, and refreshed skin from head to toe.</t>
  </si>
  <si>
    <t>Purifies and clears acne-prone skin by inhibiting Propionibacterium acnes and other pathogenic bacteria.
Reduces inflammation and redness caused by breakouts, shaving, or sensitivity.
Balances oil secretion while maintaining hydration — ideal for combination and reactive skin.
Refines pores and smooths texture, restoring a clear, fresh complexion.</t>
  </si>
  <si>
    <t>Calms irritation from sun exposure, shaving, or minor skin stress.
Eliminates odor-causing bacteria, keeping skin fresh and clean throughout the day.
Supports wound-healing and barrier recovery on sensitive or inflamed areas.
Effective against fungal issues (athlete’s foot, body odor, yeast imbalance).</t>
  </si>
  <si>
    <t>Reduces dandruff and scalp inflammation by suppressing Malassezia furfur and other microbes.
Soothes itch and redness, promoting comfort and scalp balance.
Ideal for irritated, oily, or acneic scalp types.</t>
  </si>
  <si>
    <t>41 % dandruff reduction after 4 weeks</t>
  </si>
  <si>
    <t>MelaFresh T96</t>
  </si>
  <si>
    <t>Barrier Protect Hydrate Booster</t>
  </si>
  <si>
    <t>“Moisture beyond hyaluronic acid.”</t>
  </si>
  <si>
    <t>Lactobacillus/Soy Ferment Extract · Viscum Album (Mistletoe) Leaf Extract · Imperata Cylindrica Root Extract</t>
  </si>
  <si>
    <t>Moisture beyond hyaluronic acid - It harnesses the power of triple plant fermentation — soy, mistletoe, and Imperata root — to deeply hydrate, strengthen, and soothe.
It locks in water, restores softness, and calms sensitivity, leaving skin supple, smooth, and beautifully balanced.</t>
  </si>
  <si>
    <t>Provides ultra-deep, long-lasting hydration — clinically proven to deliver up to 7× the moisturizing power of hyaluronic acid after 1 hour
Strengthens the skin barrier, reducing trans-epidermal water loss (TEWL) while maintaining comfort and elasticity.
Instantly softens and smooths dry, flaky, or tight skin without leaving film or stickiness.
Calms redness and sensitivity, making it ideal for dry, stressed, or post-treatment skin.</t>
  </si>
  <si>
    <t>Relieves dryness and roughness on body, hands, and elbows with long-term moisture retention.
Restores elasticity and comfort to tight or sun-exposed skin.
Soothes irritation caused by environmental stress, heat, or dehydration.</t>
  </si>
  <si>
    <t>Hydrasense</t>
  </si>
  <si>
    <t>Reishi</t>
  </si>
  <si>
    <t>Ginseng</t>
  </si>
  <si>
    <t>Diamond NMN Booster</t>
  </si>
  <si>
    <t>Sapphire Firming Booster</t>
  </si>
  <si>
    <t>Platinum Anti-Wrinkle Booster</t>
  </si>
  <si>
    <t>PDRN</t>
  </si>
  <si>
    <t>for 0.05ml</t>
  </si>
  <si>
    <t>0.15ml</t>
  </si>
  <si>
    <t>for 30ml</t>
  </si>
  <si>
    <t>Niacinamide Serum (Normal Skin)</t>
  </si>
  <si>
    <t>Water, Butylene Glycol, Hydrolyzed Sodium Hyaluronate, Sodium Hyaluronate, Sodium Polyacryloyldimethyl Taurate, Methyl Gluceth-10, Saccharide Isomerate, Citric Acid, Sodium Citrate, Silanetriol, Hyaluronic Acid, Beta-Glucan, Lysine, Histidine, Arginine, Niacinamide, Sodium Benzoate, Algin, Potassium Sorbate, Calcium Citrate, Panthenol, Escin, Ruscus Aculeatus Root Extract, Ammonium Glycyrrhizate, Centella Asiatica Extract, Hydrolyzed Yeast Protein, Calendula Officinalis Flower Extract, Snail Secretion Filtrate, Ethyl Hexanediol, Ceramide 3, Hydrogenated Lecithin, Glycerin, Pentylene Glycol, Caprylic/Capric Triglyceride, Echium Plantagineum Seed Oil, Macadamia Integrifolia Seed Oil, Copernicia Cerifera Wax, Decyl Glucoside, Glycerin, Lactobacillus/Soybean Ferment Extract, Viscum Album Leaf Extract, Imperata Cylindrica Root Extract, Inulin, Alpha-Glucan Oligosaccharide, Propanediol, 1,2-Hexanediol, Caprylhydroxamic Acid.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</si>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</sst>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wrapText="1"/>
    </xf>
    <xf numFmtId="0" fontId="0" fillId="2" borderId="0" xfId="0" applyFill="1" applyAlignment="1">
      <alignment vertical="top" wrapText="1"/>
    </xf>
    <xf numFmtId="0" fontId="2" fillId="0" borderId="0" xfId="0" applyFont="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A873E-4B66-41E4-B44A-6BED06321ABF}">
  <dimension ref="A1:N52"/>
  <sheetViews>
    <sheetView tabSelected="1" topLeftCell="A2" workbookViewId="0">
      <selection activeCell="K4" sqref="K4"/>
    </sheetView>
  </sheetViews>
  <sheetFormatPr defaultColWidth="9.109375" defaultRowHeight="14.4" x14ac:dyDescent="0.3"/>
  <cols>
    <col min="1" max="1" width="13.33203125" style="1" customWidth="1"/>
    <col min="2" max="2" width="12.109375" style="1" customWidth="1"/>
    <col min="3" max="3" width="25.109375" style="1" customWidth="1"/>
    <col min="4" max="4" width="27.6640625" style="1" customWidth="1"/>
    <col min="5" max="5" width="17.88671875" style="1" customWidth="1"/>
    <col min="6" max="6" width="33.77734375" style="2" customWidth="1"/>
    <col min="7" max="7" width="29.5546875" style="2" customWidth="1"/>
    <col min="8" max="8" width="25.109375" style="2" customWidth="1"/>
    <col min="9" max="9" width="19.109375" style="2" customWidth="1"/>
    <col min="10" max="10" width="15.77734375" style="1" customWidth="1"/>
    <col min="11" max="11" width="9" style="2" customWidth="1"/>
    <col min="12" max="13" width="9.109375" style="2"/>
    <col min="14" max="14" width="10.44140625" style="2" bestFit="1" customWidth="1"/>
    <col min="15" max="16384" width="9.109375" style="2"/>
  </cols>
  <sheetData>
    <row r="1" spans="1:14" x14ac:dyDescent="0.3">
      <c r="A1" s="1" t="s">
        <v>0</v>
      </c>
      <c r="B1" s="1" t="s">
        <v>1</v>
      </c>
      <c r="C1" s="1" t="s">
        <v>2</v>
      </c>
      <c r="D1" s="1" t="s">
        <v>3</v>
      </c>
      <c r="E1" s="1" t="s">
        <v>4</v>
      </c>
      <c r="F1" s="2" t="s">
        <v>5</v>
      </c>
      <c r="G1" s="2" t="s">
        <v>6</v>
      </c>
      <c r="H1" s="2" t="s">
        <v>7</v>
      </c>
      <c r="I1" s="2" t="s">
        <v>8</v>
      </c>
      <c r="J1" s="1" t="s">
        <v>9</v>
      </c>
      <c r="K1" s="2" t="s">
        <v>10</v>
      </c>
      <c r="L1" s="2" t="s">
        <v>11</v>
      </c>
      <c r="M1" s="2" t="s">
        <v>12</v>
      </c>
      <c r="N1" s="2" t="s">
        <v>13</v>
      </c>
    </row>
    <row r="2" spans="1:14" ht="216" x14ac:dyDescent="0.3">
      <c r="A2" s="1" t="s">
        <v>14</v>
      </c>
      <c r="B2" s="1" t="s">
        <v>15</v>
      </c>
      <c r="C2" s="1" t="s">
        <v>16</v>
      </c>
      <c r="D2" s="1" t="s">
        <v>17</v>
      </c>
      <c r="E2" s="1" t="s">
        <v>18</v>
      </c>
      <c r="F2" s="1" t="s">
        <v>19</v>
      </c>
      <c r="G2" s="1" t="s">
        <v>20</v>
      </c>
      <c r="H2" s="1"/>
      <c r="I2" s="1"/>
      <c r="J2" s="1" t="s">
        <v>21</v>
      </c>
      <c r="K2" s="2" t="s">
        <v>22</v>
      </c>
      <c r="L2" s="2">
        <v>1.27</v>
      </c>
      <c r="M2" s="2">
        <f>N2/5</f>
        <v>10</v>
      </c>
      <c r="N2" s="2">
        <v>50</v>
      </c>
    </row>
    <row r="3" spans="1:14" ht="187.2" x14ac:dyDescent="0.3">
      <c r="A3" s="1" t="s">
        <v>23</v>
      </c>
      <c r="B3" s="1" t="s">
        <v>24</v>
      </c>
      <c r="C3" s="1" t="s">
        <v>25</v>
      </c>
      <c r="D3" s="1" t="s">
        <v>26</v>
      </c>
      <c r="E3" s="1" t="s">
        <v>27</v>
      </c>
      <c r="F3" s="3" t="s">
        <v>28</v>
      </c>
      <c r="G3" s="3"/>
      <c r="H3" s="1" t="s">
        <v>29</v>
      </c>
      <c r="I3" s="1"/>
      <c r="J3" s="1" t="s">
        <v>30</v>
      </c>
      <c r="K3" s="2" t="s">
        <v>31</v>
      </c>
      <c r="L3" s="2">
        <v>2.84</v>
      </c>
      <c r="M3" s="2">
        <f>N3/5</f>
        <v>10</v>
      </c>
      <c r="N3" s="2">
        <v>50</v>
      </c>
    </row>
    <row r="4" spans="1:14" ht="273.60000000000002" x14ac:dyDescent="0.3">
      <c r="A4" s="1" t="s">
        <v>32</v>
      </c>
      <c r="B4" s="1" t="s">
        <v>33</v>
      </c>
      <c r="C4" s="1" t="s">
        <v>34</v>
      </c>
      <c r="D4" s="1" t="s">
        <v>35</v>
      </c>
      <c r="E4" s="1" t="s">
        <v>36</v>
      </c>
      <c r="F4" s="1" t="s">
        <v>37</v>
      </c>
      <c r="G4" s="1" t="s">
        <v>38</v>
      </c>
      <c r="J4" s="1" t="s">
        <v>39</v>
      </c>
      <c r="K4" s="2" t="s">
        <v>40</v>
      </c>
      <c r="L4" s="2">
        <v>1.77</v>
      </c>
      <c r="M4" s="2">
        <f>N4/5</f>
        <v>8</v>
      </c>
      <c r="N4" s="2">
        <v>40</v>
      </c>
    </row>
    <row r="5" spans="1:14" ht="144" x14ac:dyDescent="0.3">
      <c r="A5" s="1" t="s">
        <v>41</v>
      </c>
      <c r="B5" s="1" t="s">
        <v>42</v>
      </c>
      <c r="C5" s="1" t="s">
        <v>43</v>
      </c>
      <c r="D5" s="1" t="s">
        <v>44</v>
      </c>
      <c r="E5" s="1" t="s">
        <v>45</v>
      </c>
      <c r="F5" s="1" t="s">
        <v>46</v>
      </c>
      <c r="I5" s="1" t="s">
        <v>47</v>
      </c>
      <c r="J5" s="1" t="s">
        <v>48</v>
      </c>
      <c r="K5" s="2" t="s">
        <v>49</v>
      </c>
      <c r="L5" s="2">
        <v>1.3</v>
      </c>
      <c r="M5" s="2">
        <f t="shared" ref="M5:M47" si="0">N5/5</f>
        <v>10</v>
      </c>
      <c r="N5" s="2">
        <v>50</v>
      </c>
    </row>
    <row r="6" spans="1:14" ht="230.4" x14ac:dyDescent="0.3">
      <c r="A6" s="1" t="s">
        <v>50</v>
      </c>
      <c r="B6" s="1" t="s">
        <v>51</v>
      </c>
      <c r="C6" s="1" t="s">
        <v>52</v>
      </c>
      <c r="D6" s="1" t="s">
        <v>53</v>
      </c>
      <c r="E6" s="1" t="s">
        <v>54</v>
      </c>
      <c r="F6" s="1" t="s">
        <v>55</v>
      </c>
      <c r="J6" s="1" t="s">
        <v>56</v>
      </c>
      <c r="K6" s="2" t="s">
        <v>57</v>
      </c>
      <c r="L6" s="2">
        <v>1.08</v>
      </c>
      <c r="M6" s="2">
        <f t="shared" si="0"/>
        <v>10</v>
      </c>
      <c r="N6" s="2">
        <v>50</v>
      </c>
    </row>
    <row r="7" spans="1:14" ht="176.25" customHeight="1" x14ac:dyDescent="0.3">
      <c r="A7" s="1" t="s">
        <v>58</v>
      </c>
      <c r="B7" s="1" t="s">
        <v>59</v>
      </c>
      <c r="C7" s="1" t="s">
        <v>60</v>
      </c>
      <c r="D7" s="1" t="s">
        <v>61</v>
      </c>
      <c r="E7" s="1" t="s">
        <v>62</v>
      </c>
      <c r="F7" s="1" t="s">
        <v>63</v>
      </c>
      <c r="J7" s="1" t="s">
        <v>64</v>
      </c>
      <c r="K7" s="2" t="s">
        <v>65</v>
      </c>
      <c r="L7" s="2">
        <v>2.4700000000000002</v>
      </c>
      <c r="M7" s="2">
        <f t="shared" si="0"/>
        <v>10</v>
      </c>
      <c r="N7" s="2">
        <v>50</v>
      </c>
    </row>
    <row r="8" spans="1:14" ht="187.2" x14ac:dyDescent="0.3">
      <c r="A8" s="1" t="s">
        <v>66</v>
      </c>
      <c r="B8" s="1" t="s">
        <v>67</v>
      </c>
      <c r="D8" s="1" t="s">
        <v>68</v>
      </c>
      <c r="E8" s="1" t="s">
        <v>69</v>
      </c>
      <c r="F8" s="1" t="s">
        <v>70</v>
      </c>
      <c r="G8" s="1" t="s">
        <v>71</v>
      </c>
      <c r="H8" s="1" t="s">
        <v>72</v>
      </c>
      <c r="J8" s="1" t="s">
        <v>73</v>
      </c>
      <c r="K8" s="2" t="s">
        <v>74</v>
      </c>
      <c r="L8" s="2">
        <v>1.23</v>
      </c>
      <c r="M8" s="2">
        <f t="shared" si="0"/>
        <v>8</v>
      </c>
      <c r="N8" s="2">
        <v>40</v>
      </c>
    </row>
    <row r="9" spans="1:14" ht="171.75" customHeight="1" x14ac:dyDescent="0.3">
      <c r="A9" s="1" t="s">
        <v>75</v>
      </c>
      <c r="B9" s="1" t="s">
        <v>76</v>
      </c>
      <c r="D9" s="1" t="s">
        <v>77</v>
      </c>
      <c r="E9" s="1" t="s">
        <v>78</v>
      </c>
      <c r="F9" s="1" t="s">
        <v>79</v>
      </c>
      <c r="J9" s="1" t="s">
        <v>80</v>
      </c>
      <c r="K9" s="2" t="s">
        <v>81</v>
      </c>
      <c r="L9" s="2">
        <v>2.4500000000000002</v>
      </c>
      <c r="M9" s="2">
        <f t="shared" si="0"/>
        <v>8</v>
      </c>
      <c r="N9" s="2">
        <v>40</v>
      </c>
    </row>
    <row r="10" spans="1:14" ht="224.25" customHeight="1" x14ac:dyDescent="0.3">
      <c r="A10" s="1" t="s">
        <v>82</v>
      </c>
      <c r="B10" s="1" t="s">
        <v>83</v>
      </c>
      <c r="D10" s="1" t="s">
        <v>84</v>
      </c>
      <c r="E10" s="1" t="s">
        <v>85</v>
      </c>
      <c r="F10" s="1" t="s">
        <v>86</v>
      </c>
      <c r="J10" s="1" t="s">
        <v>87</v>
      </c>
      <c r="K10" s="2" t="s">
        <v>88</v>
      </c>
      <c r="L10" s="2">
        <v>1.95</v>
      </c>
      <c r="M10" s="2">
        <f t="shared" si="0"/>
        <v>10</v>
      </c>
      <c r="N10" s="2">
        <v>50</v>
      </c>
    </row>
    <row r="11" spans="1:14" ht="409.6" x14ac:dyDescent="0.3">
      <c r="A11" s="1" t="s">
        <v>89</v>
      </c>
      <c r="B11" s="1" t="s">
        <v>90</v>
      </c>
      <c r="D11" s="1" t="s">
        <v>91</v>
      </c>
      <c r="E11" s="1" t="s">
        <v>92</v>
      </c>
      <c r="F11" s="1" t="s">
        <v>93</v>
      </c>
      <c r="G11" s="1" t="s">
        <v>94</v>
      </c>
      <c r="J11" s="1" t="s">
        <v>95</v>
      </c>
      <c r="K11" s="2" t="s">
        <v>96</v>
      </c>
      <c r="L11" s="2">
        <v>1.57</v>
      </c>
      <c r="M11" s="2">
        <f t="shared" si="0"/>
        <v>8</v>
      </c>
      <c r="N11" s="2">
        <v>40</v>
      </c>
    </row>
    <row r="12" spans="1:14" ht="302.39999999999998" x14ac:dyDescent="0.3">
      <c r="A12" s="1" t="s">
        <v>97</v>
      </c>
      <c r="B12" s="1" t="s">
        <v>98</v>
      </c>
      <c r="D12" s="1" t="s">
        <v>99</v>
      </c>
      <c r="E12" s="1" t="s">
        <v>100</v>
      </c>
      <c r="F12" s="1" t="s">
        <v>101</v>
      </c>
      <c r="I12" s="1" t="s">
        <v>102</v>
      </c>
      <c r="J12" s="1" t="s">
        <v>103</v>
      </c>
      <c r="K12" s="2" t="s">
        <v>104</v>
      </c>
      <c r="L12" s="2">
        <v>7.8</v>
      </c>
      <c r="M12" s="2">
        <f t="shared" si="0"/>
        <v>10</v>
      </c>
      <c r="N12" s="2">
        <v>50</v>
      </c>
    </row>
    <row r="13" spans="1:14" ht="201.6" x14ac:dyDescent="0.3">
      <c r="A13" s="1" t="s">
        <v>105</v>
      </c>
      <c r="B13" s="1" t="s">
        <v>106</v>
      </c>
      <c r="D13" s="1" t="s">
        <v>107</v>
      </c>
      <c r="E13" s="1" t="s">
        <v>108</v>
      </c>
      <c r="F13" s="1" t="s">
        <v>109</v>
      </c>
      <c r="J13" s="1" t="s">
        <v>110</v>
      </c>
      <c r="K13" s="2" t="s">
        <v>111</v>
      </c>
      <c r="L13" s="2">
        <v>1.29</v>
      </c>
      <c r="M13" s="2">
        <f t="shared" si="0"/>
        <v>10</v>
      </c>
      <c r="N13" s="2">
        <v>50</v>
      </c>
    </row>
    <row r="14" spans="1:14" ht="345.6" x14ac:dyDescent="0.3">
      <c r="A14" s="1" t="s">
        <v>112</v>
      </c>
      <c r="B14" s="1" t="s">
        <v>113</v>
      </c>
      <c r="D14" s="1" t="s">
        <v>114</v>
      </c>
      <c r="E14" s="1" t="s">
        <v>115</v>
      </c>
      <c r="H14" s="1" t="s">
        <v>116</v>
      </c>
      <c r="J14" s="1" t="s">
        <v>117</v>
      </c>
      <c r="K14" s="2" t="s">
        <v>118</v>
      </c>
      <c r="L14" s="2">
        <v>2.39</v>
      </c>
      <c r="M14" s="2">
        <f t="shared" si="0"/>
        <v>10</v>
      </c>
      <c r="N14" s="2">
        <v>50</v>
      </c>
    </row>
    <row r="15" spans="1:14" ht="259.2" x14ac:dyDescent="0.3">
      <c r="A15" s="1" t="s">
        <v>119</v>
      </c>
      <c r="B15" s="1" t="s">
        <v>120</v>
      </c>
      <c r="D15" s="1" t="s">
        <v>121</v>
      </c>
      <c r="E15" s="1" t="s">
        <v>122</v>
      </c>
      <c r="H15" s="1" t="s">
        <v>123</v>
      </c>
      <c r="J15" s="1" t="s">
        <v>124</v>
      </c>
      <c r="K15" s="2" t="s">
        <v>125</v>
      </c>
      <c r="L15" s="2">
        <v>3.58</v>
      </c>
      <c r="M15" s="2">
        <f t="shared" si="0"/>
        <v>10</v>
      </c>
      <c r="N15" s="2">
        <v>50</v>
      </c>
    </row>
    <row r="16" spans="1:14" ht="172.8" x14ac:dyDescent="0.3">
      <c r="A16" s="1" t="s">
        <v>126</v>
      </c>
      <c r="B16" s="1" t="s">
        <v>127</v>
      </c>
      <c r="D16" s="1" t="s">
        <v>128</v>
      </c>
      <c r="E16" s="1" t="s">
        <v>129</v>
      </c>
      <c r="I16" s="1" t="s">
        <v>130</v>
      </c>
      <c r="J16" s="1" t="s">
        <v>131</v>
      </c>
      <c r="K16" s="2" t="s">
        <v>132</v>
      </c>
      <c r="L16" s="2">
        <v>1.58</v>
      </c>
      <c r="M16" s="2">
        <f t="shared" si="0"/>
        <v>10</v>
      </c>
      <c r="N16" s="2">
        <v>50</v>
      </c>
    </row>
    <row r="17" spans="1:14" ht="216" x14ac:dyDescent="0.3">
      <c r="A17" s="1" t="s">
        <v>133</v>
      </c>
      <c r="B17" s="1" t="s">
        <v>134</v>
      </c>
      <c r="D17" s="1" t="s">
        <v>135</v>
      </c>
      <c r="E17" s="1" t="s">
        <v>136</v>
      </c>
      <c r="F17" s="1" t="s">
        <v>137</v>
      </c>
      <c r="G17" s="1" t="s">
        <v>138</v>
      </c>
      <c r="J17" s="1" t="s">
        <v>139</v>
      </c>
      <c r="K17" s="2" t="s">
        <v>140</v>
      </c>
      <c r="L17" s="2">
        <v>1.2</v>
      </c>
      <c r="M17" s="2">
        <f t="shared" si="0"/>
        <v>8</v>
      </c>
      <c r="N17" s="2">
        <v>40</v>
      </c>
    </row>
    <row r="18" spans="1:14" ht="172.8" x14ac:dyDescent="0.3">
      <c r="A18" s="1" t="s">
        <v>141</v>
      </c>
      <c r="B18" s="1" t="s">
        <v>142</v>
      </c>
      <c r="D18" s="1" t="s">
        <v>143</v>
      </c>
      <c r="E18" s="1" t="s">
        <v>144</v>
      </c>
      <c r="F18" s="1" t="s">
        <v>145</v>
      </c>
      <c r="H18" s="1" t="s">
        <v>146</v>
      </c>
      <c r="J18" s="1" t="s">
        <v>147</v>
      </c>
      <c r="K18" s="2" t="s">
        <v>148</v>
      </c>
      <c r="L18" s="2">
        <v>0.86</v>
      </c>
      <c r="M18" s="2">
        <f t="shared" si="0"/>
        <v>8</v>
      </c>
      <c r="N18" s="2">
        <v>40</v>
      </c>
    </row>
    <row r="19" spans="1:14" ht="216" x14ac:dyDescent="0.3">
      <c r="A19" s="1" t="s">
        <v>149</v>
      </c>
      <c r="B19" s="1" t="s">
        <v>150</v>
      </c>
      <c r="D19" s="1" t="s">
        <v>151</v>
      </c>
      <c r="E19" s="1" t="s">
        <v>152</v>
      </c>
      <c r="F19" s="1" t="s">
        <v>153</v>
      </c>
      <c r="G19" s="1" t="s">
        <v>154</v>
      </c>
      <c r="J19" s="1" t="s">
        <v>155</v>
      </c>
      <c r="K19" s="2" t="s">
        <v>156</v>
      </c>
      <c r="L19" s="2">
        <v>0.45</v>
      </c>
      <c r="M19" s="2">
        <f t="shared" si="0"/>
        <v>6</v>
      </c>
      <c r="N19" s="2">
        <v>30</v>
      </c>
    </row>
    <row r="20" spans="1:14" ht="158.4" x14ac:dyDescent="0.3">
      <c r="A20" s="1" t="s">
        <v>157</v>
      </c>
      <c r="B20" s="1" t="s">
        <v>158</v>
      </c>
      <c r="D20" s="1" t="s">
        <v>159</v>
      </c>
      <c r="E20" s="1" t="s">
        <v>160</v>
      </c>
      <c r="F20" s="1" t="s">
        <v>161</v>
      </c>
      <c r="G20" s="1" t="s">
        <v>162</v>
      </c>
      <c r="I20" s="1" t="s">
        <v>163</v>
      </c>
      <c r="J20" s="1" t="s">
        <v>164</v>
      </c>
      <c r="K20" s="2" t="s">
        <v>165</v>
      </c>
      <c r="L20" s="2">
        <v>1.77</v>
      </c>
      <c r="M20" s="2">
        <f t="shared" si="0"/>
        <v>10</v>
      </c>
      <c r="N20" s="2">
        <v>50</v>
      </c>
    </row>
    <row r="21" spans="1:14" ht="244.8" x14ac:dyDescent="0.3">
      <c r="A21" s="1" t="s">
        <v>166</v>
      </c>
      <c r="B21" s="1" t="s">
        <v>167</v>
      </c>
      <c r="D21" s="1" t="s">
        <v>168</v>
      </c>
      <c r="E21" s="1" t="s">
        <v>169</v>
      </c>
      <c r="F21" s="1" t="s">
        <v>170</v>
      </c>
      <c r="I21" s="1" t="s">
        <v>171</v>
      </c>
      <c r="J21" s="1" t="s">
        <v>172</v>
      </c>
      <c r="K21" s="2" t="s">
        <v>173</v>
      </c>
      <c r="L21" s="2">
        <v>1.66</v>
      </c>
      <c r="M21" s="2">
        <f t="shared" si="0"/>
        <v>10</v>
      </c>
      <c r="N21" s="2">
        <v>50</v>
      </c>
    </row>
    <row r="22" spans="1:14" ht="216" x14ac:dyDescent="0.3">
      <c r="A22" s="1" t="s">
        <v>174</v>
      </c>
      <c r="B22" s="1" t="s">
        <v>175</v>
      </c>
      <c r="D22" s="1" t="s">
        <v>176</v>
      </c>
      <c r="E22" s="1" t="s">
        <v>177</v>
      </c>
      <c r="F22" s="1" t="s">
        <v>178</v>
      </c>
      <c r="G22" s="1" t="s">
        <v>179</v>
      </c>
      <c r="I22" s="1" t="s">
        <v>180</v>
      </c>
      <c r="J22" s="1" t="s">
        <v>181</v>
      </c>
      <c r="K22" s="2" t="s">
        <v>182</v>
      </c>
      <c r="L22" s="2">
        <v>2.36</v>
      </c>
      <c r="M22" s="2">
        <f t="shared" si="0"/>
        <v>10</v>
      </c>
      <c r="N22" s="2">
        <v>50</v>
      </c>
    </row>
    <row r="23" spans="1:14" ht="259.2" x14ac:dyDescent="0.3">
      <c r="A23" s="1" t="s">
        <v>183</v>
      </c>
      <c r="B23" s="1" t="s">
        <v>184</v>
      </c>
      <c r="D23" s="1" t="s">
        <v>185</v>
      </c>
      <c r="E23" s="1" t="s">
        <v>186</v>
      </c>
      <c r="F23" s="1" t="s">
        <v>187</v>
      </c>
      <c r="H23" s="1" t="s">
        <v>188</v>
      </c>
      <c r="I23" s="1" t="s">
        <v>189</v>
      </c>
      <c r="J23" s="1" t="s">
        <v>190</v>
      </c>
      <c r="K23" s="2" t="s">
        <v>191</v>
      </c>
      <c r="L23" s="2">
        <v>1.75</v>
      </c>
      <c r="M23" s="2">
        <f t="shared" si="0"/>
        <v>8</v>
      </c>
      <c r="N23" s="2">
        <v>40</v>
      </c>
    </row>
    <row r="24" spans="1:14" ht="187.2" x14ac:dyDescent="0.3">
      <c r="A24" s="1" t="s">
        <v>192</v>
      </c>
      <c r="B24" s="1" t="s">
        <v>193</v>
      </c>
      <c r="D24" s="1" t="s">
        <v>194</v>
      </c>
      <c r="E24" s="1" t="s">
        <v>195</v>
      </c>
      <c r="F24" s="1" t="s">
        <v>196</v>
      </c>
      <c r="G24" s="1" t="s">
        <v>197</v>
      </c>
      <c r="J24" s="1" t="s">
        <v>198</v>
      </c>
      <c r="K24" s="2" t="s">
        <v>199</v>
      </c>
      <c r="L24" s="2">
        <v>1.48</v>
      </c>
      <c r="M24" s="2">
        <f t="shared" si="0"/>
        <v>8</v>
      </c>
      <c r="N24" s="2">
        <v>40</v>
      </c>
    </row>
    <row r="25" spans="1:14" ht="216" x14ac:dyDescent="0.3">
      <c r="A25" s="1" t="s">
        <v>200</v>
      </c>
      <c r="B25" s="1" t="s">
        <v>201</v>
      </c>
      <c r="D25" s="1" t="s">
        <v>202</v>
      </c>
      <c r="E25" s="1" t="s">
        <v>203</v>
      </c>
      <c r="F25" s="1" t="s">
        <v>204</v>
      </c>
      <c r="G25" s="1" t="s">
        <v>205</v>
      </c>
      <c r="H25" s="1" t="s">
        <v>206</v>
      </c>
      <c r="J25" s="1" t="s">
        <v>207</v>
      </c>
      <c r="K25" s="2" t="s">
        <v>208</v>
      </c>
      <c r="L25" s="2">
        <v>1.98</v>
      </c>
      <c r="M25" s="2">
        <f t="shared" si="0"/>
        <v>10</v>
      </c>
      <c r="N25" s="2">
        <v>50</v>
      </c>
    </row>
    <row r="26" spans="1:14" ht="302.39999999999998" x14ac:dyDescent="0.3">
      <c r="A26" s="1" t="s">
        <v>209</v>
      </c>
      <c r="B26" s="1" t="s">
        <v>210</v>
      </c>
      <c r="D26" s="3" t="s">
        <v>211</v>
      </c>
      <c r="E26" s="1" t="s">
        <v>212</v>
      </c>
      <c r="F26" s="1" t="s">
        <v>213</v>
      </c>
      <c r="H26" s="1" t="s">
        <v>214</v>
      </c>
      <c r="J26" s="1" t="s">
        <v>215</v>
      </c>
      <c r="K26" s="2" t="s">
        <v>216</v>
      </c>
      <c r="L26" s="2">
        <v>0.89</v>
      </c>
      <c r="M26" s="2">
        <f t="shared" si="0"/>
        <v>6</v>
      </c>
      <c r="N26" s="2">
        <v>30</v>
      </c>
    </row>
    <row r="27" spans="1:14" ht="273.60000000000002" x14ac:dyDescent="0.3">
      <c r="A27" s="1" t="s">
        <v>217</v>
      </c>
      <c r="D27" s="1" t="s">
        <v>218</v>
      </c>
      <c r="E27" s="1" t="s">
        <v>219</v>
      </c>
      <c r="H27" s="1" t="s">
        <v>220</v>
      </c>
      <c r="I27" s="1" t="s">
        <v>221</v>
      </c>
      <c r="J27" s="1" t="s">
        <v>222</v>
      </c>
      <c r="K27" s="2" t="s">
        <v>223</v>
      </c>
      <c r="L27" s="2">
        <v>1.43</v>
      </c>
      <c r="M27" s="2">
        <f t="shared" si="0"/>
        <v>10</v>
      </c>
      <c r="N27" s="2">
        <v>50</v>
      </c>
    </row>
    <row r="28" spans="1:14" ht="273.60000000000002" x14ac:dyDescent="0.3">
      <c r="A28" s="1" t="s">
        <v>224</v>
      </c>
      <c r="B28" s="1" t="s">
        <v>225</v>
      </c>
      <c r="D28" s="1" t="s">
        <v>226</v>
      </c>
      <c r="E28" s="1" t="s">
        <v>227</v>
      </c>
      <c r="G28" s="1" t="s">
        <v>228</v>
      </c>
      <c r="H28" s="1" t="s">
        <v>229</v>
      </c>
      <c r="J28" s="1" t="s">
        <v>230</v>
      </c>
      <c r="K28" s="2" t="s">
        <v>231</v>
      </c>
      <c r="L28" s="2">
        <v>1.27</v>
      </c>
      <c r="M28" s="2">
        <f t="shared" si="0"/>
        <v>6</v>
      </c>
      <c r="N28" s="2">
        <v>30</v>
      </c>
    </row>
    <row r="29" spans="1:14" ht="374.4" x14ac:dyDescent="0.3">
      <c r="A29" s="1" t="s">
        <v>232</v>
      </c>
      <c r="B29" s="1" t="s">
        <v>233</v>
      </c>
      <c r="D29" s="1" t="s">
        <v>234</v>
      </c>
      <c r="E29" s="1" t="s">
        <v>235</v>
      </c>
      <c r="G29" s="1"/>
      <c r="H29" s="1" t="s">
        <v>236</v>
      </c>
      <c r="J29" s="1" t="s">
        <v>237</v>
      </c>
      <c r="K29" s="2" t="s">
        <v>238</v>
      </c>
      <c r="L29" s="2">
        <v>0.48</v>
      </c>
      <c r="M29" s="2">
        <f t="shared" si="0"/>
        <v>6</v>
      </c>
      <c r="N29" s="2">
        <v>30</v>
      </c>
    </row>
    <row r="30" spans="1:14" ht="273.60000000000002" x14ac:dyDescent="0.3">
      <c r="A30" s="1" t="s">
        <v>239</v>
      </c>
      <c r="B30" s="1" t="s">
        <v>240</v>
      </c>
      <c r="D30" s="1" t="s">
        <v>241</v>
      </c>
      <c r="E30" s="1" t="s">
        <v>242</v>
      </c>
      <c r="F30" s="1" t="s">
        <v>243</v>
      </c>
      <c r="G30" s="1" t="s">
        <v>244</v>
      </c>
      <c r="J30" s="1" t="s">
        <v>245</v>
      </c>
      <c r="K30" s="2" t="s">
        <v>246</v>
      </c>
      <c r="L30" s="2">
        <v>0.8</v>
      </c>
      <c r="M30" s="2">
        <f t="shared" si="0"/>
        <v>8</v>
      </c>
      <c r="N30" s="2">
        <v>40</v>
      </c>
    </row>
    <row r="31" spans="1:14" ht="273.60000000000002" x14ac:dyDescent="0.3">
      <c r="A31" s="1" t="s">
        <v>247</v>
      </c>
      <c r="B31" s="1" t="s">
        <v>248</v>
      </c>
      <c r="D31" s="1" t="s">
        <v>249</v>
      </c>
      <c r="E31" s="1" t="s">
        <v>250</v>
      </c>
      <c r="F31" s="1" t="s">
        <v>251</v>
      </c>
      <c r="H31" s="1" t="s">
        <v>252</v>
      </c>
      <c r="J31" s="1" t="s">
        <v>253</v>
      </c>
      <c r="K31" s="2" t="s">
        <v>254</v>
      </c>
      <c r="L31" s="2">
        <v>8.16</v>
      </c>
      <c r="M31" s="2">
        <f t="shared" si="0"/>
        <v>10</v>
      </c>
      <c r="N31" s="2">
        <v>50</v>
      </c>
    </row>
    <row r="32" spans="1:14" ht="216" x14ac:dyDescent="0.3">
      <c r="A32" s="1" t="s">
        <v>255</v>
      </c>
      <c r="B32" s="1" t="s">
        <v>256</v>
      </c>
      <c r="C32" s="1" t="s">
        <v>257</v>
      </c>
      <c r="D32" s="1" t="s">
        <v>258</v>
      </c>
      <c r="E32" s="1" t="s">
        <v>259</v>
      </c>
      <c r="F32" s="1" t="s">
        <v>260</v>
      </c>
      <c r="G32" s="1" t="s">
        <v>261</v>
      </c>
      <c r="I32" s="1" t="s">
        <v>262</v>
      </c>
      <c r="J32" s="1" t="s">
        <v>263</v>
      </c>
      <c r="K32" s="2" t="s">
        <v>264</v>
      </c>
      <c r="L32" s="2">
        <f>2400/500</f>
        <v>4.8</v>
      </c>
      <c r="M32" s="2">
        <f t="shared" si="0"/>
        <v>10</v>
      </c>
      <c r="N32" s="2">
        <v>50</v>
      </c>
    </row>
    <row r="33" spans="1:14" ht="230.4" x14ac:dyDescent="0.3">
      <c r="A33" s="4" t="s">
        <v>265</v>
      </c>
      <c r="B33" s="1" t="s">
        <v>266</v>
      </c>
      <c r="C33" s="1" t="s">
        <v>267</v>
      </c>
      <c r="D33" s="1" t="s">
        <v>268</v>
      </c>
      <c r="E33" s="1" t="s">
        <v>269</v>
      </c>
      <c r="F33" s="1" t="s">
        <v>270</v>
      </c>
      <c r="G33" s="1" t="s">
        <v>271</v>
      </c>
      <c r="I33" s="1" t="s">
        <v>272</v>
      </c>
      <c r="J33" s="1" t="s">
        <v>273</v>
      </c>
      <c r="K33" s="2" t="s">
        <v>274</v>
      </c>
      <c r="L33" s="2">
        <f>18000/4000</f>
        <v>4.5</v>
      </c>
      <c r="M33" s="2">
        <f t="shared" si="0"/>
        <v>10</v>
      </c>
      <c r="N33" s="2">
        <v>50</v>
      </c>
    </row>
    <row r="34" spans="1:14" ht="259.2" x14ac:dyDescent="0.3">
      <c r="A34" s="1" t="s">
        <v>275</v>
      </c>
      <c r="B34" s="1" t="s">
        <v>276</v>
      </c>
      <c r="C34" s="1" t="s">
        <v>277</v>
      </c>
      <c r="D34" s="1" t="s">
        <v>278</v>
      </c>
      <c r="E34" s="1" t="s">
        <v>279</v>
      </c>
      <c r="F34" s="1" t="s">
        <v>280</v>
      </c>
      <c r="G34" s="1" t="s">
        <v>281</v>
      </c>
      <c r="I34" s="1" t="s">
        <v>282</v>
      </c>
      <c r="J34" s="1" t="s">
        <v>283</v>
      </c>
      <c r="K34" s="2" t="s">
        <v>284</v>
      </c>
      <c r="L34" s="2">
        <f>3000/1000</f>
        <v>3</v>
      </c>
      <c r="M34" s="2">
        <f t="shared" si="0"/>
        <v>10</v>
      </c>
      <c r="N34" s="2">
        <v>50</v>
      </c>
    </row>
    <row r="35" spans="1:14" ht="273.60000000000002" x14ac:dyDescent="0.3">
      <c r="A35" s="1" t="s">
        <v>285</v>
      </c>
      <c r="B35" s="1" t="s">
        <v>286</v>
      </c>
      <c r="C35" s="1" t="s">
        <v>287</v>
      </c>
      <c r="D35" s="1" t="s">
        <v>288</v>
      </c>
      <c r="E35" s="1" t="s">
        <v>289</v>
      </c>
      <c r="F35" s="1" t="s">
        <v>290</v>
      </c>
      <c r="G35" s="1" t="s">
        <v>291</v>
      </c>
      <c r="I35" s="1" t="s">
        <v>292</v>
      </c>
      <c r="J35" s="1" t="s">
        <v>293</v>
      </c>
      <c r="K35" s="2" t="s">
        <v>294</v>
      </c>
      <c r="L35" s="2">
        <f>2300/1000</f>
        <v>2.2999999999999998</v>
      </c>
      <c r="M35" s="2">
        <f t="shared" si="0"/>
        <v>10</v>
      </c>
      <c r="N35" s="2">
        <v>50</v>
      </c>
    </row>
    <row r="36" spans="1:14" ht="302.39999999999998" x14ac:dyDescent="0.3">
      <c r="A36" s="4" t="s">
        <v>295</v>
      </c>
      <c r="C36" s="1" t="s">
        <v>296</v>
      </c>
      <c r="D36" s="1" t="s">
        <v>297</v>
      </c>
      <c r="E36" s="1" t="s">
        <v>298</v>
      </c>
      <c r="H36" s="1" t="s">
        <v>299</v>
      </c>
      <c r="I36" s="1" t="s">
        <v>300</v>
      </c>
      <c r="J36" s="1" t="s">
        <v>301</v>
      </c>
      <c r="K36" s="2" t="s">
        <v>302</v>
      </c>
      <c r="L36" s="2">
        <f>4000/1000</f>
        <v>4</v>
      </c>
      <c r="M36" s="2">
        <f t="shared" si="0"/>
        <v>10</v>
      </c>
      <c r="N36" s="2">
        <v>50</v>
      </c>
    </row>
    <row r="37" spans="1:14" ht="409.6" x14ac:dyDescent="0.3">
      <c r="A37" s="1" t="s">
        <v>303</v>
      </c>
      <c r="B37" s="1" t="s">
        <v>304</v>
      </c>
      <c r="C37" s="1" t="s">
        <v>305</v>
      </c>
      <c r="D37" s="1" t="s">
        <v>306</v>
      </c>
      <c r="E37" s="1" t="s">
        <v>305</v>
      </c>
      <c r="F37" s="1" t="s">
        <v>307</v>
      </c>
      <c r="G37" s="1" t="s">
        <v>308</v>
      </c>
      <c r="H37" s="1" t="s">
        <v>309</v>
      </c>
      <c r="I37" s="1" t="s">
        <v>310</v>
      </c>
      <c r="J37" s="1" t="s">
        <v>311</v>
      </c>
      <c r="K37" s="2" t="s">
        <v>312</v>
      </c>
      <c r="L37" s="2">
        <f>2400/500</f>
        <v>4.8</v>
      </c>
      <c r="M37" s="2">
        <f t="shared" si="0"/>
        <v>10</v>
      </c>
      <c r="N37" s="2">
        <v>50</v>
      </c>
    </row>
    <row r="38" spans="1:14" ht="345.6" x14ac:dyDescent="0.3">
      <c r="A38" s="1" t="s">
        <v>313</v>
      </c>
      <c r="B38" s="1" t="s">
        <v>314</v>
      </c>
      <c r="C38" s="1" t="s">
        <v>315</v>
      </c>
      <c r="D38" s="1" t="s">
        <v>316</v>
      </c>
      <c r="E38" s="1" t="s">
        <v>317</v>
      </c>
      <c r="F38" s="1" t="s">
        <v>318</v>
      </c>
      <c r="G38" s="1" t="s">
        <v>319</v>
      </c>
      <c r="I38" s="1" t="s">
        <v>320</v>
      </c>
      <c r="J38" s="1" t="s">
        <v>321</v>
      </c>
      <c r="K38" s="2" t="s">
        <v>322</v>
      </c>
      <c r="L38" s="2">
        <f>900/500</f>
        <v>1.8</v>
      </c>
      <c r="M38" s="2">
        <f t="shared" si="0"/>
        <v>10</v>
      </c>
      <c r="N38" s="2">
        <v>50</v>
      </c>
    </row>
    <row r="39" spans="1:14" ht="201.6" x14ac:dyDescent="0.3">
      <c r="A39" s="4" t="s">
        <v>323</v>
      </c>
      <c r="B39" s="1" t="s">
        <v>324</v>
      </c>
      <c r="C39" s="1" t="s">
        <v>325</v>
      </c>
      <c r="D39" s="1" t="s">
        <v>326</v>
      </c>
      <c r="E39" s="1" t="s">
        <v>327</v>
      </c>
      <c r="F39" s="1" t="s">
        <v>328</v>
      </c>
      <c r="G39" s="1" t="s">
        <v>329</v>
      </c>
      <c r="J39" s="1" t="s">
        <v>330</v>
      </c>
      <c r="K39" s="2" t="s">
        <v>331</v>
      </c>
      <c r="L39" s="2">
        <f>15000/500*0.6/2</f>
        <v>9</v>
      </c>
      <c r="M39" s="2">
        <f t="shared" si="0"/>
        <v>10</v>
      </c>
      <c r="N39" s="2">
        <v>50</v>
      </c>
    </row>
    <row r="40" spans="1:14" ht="216" x14ac:dyDescent="0.3">
      <c r="A40" s="1" t="s">
        <v>332</v>
      </c>
      <c r="B40" s="5" t="s">
        <v>333</v>
      </c>
      <c r="C40" s="1" t="s">
        <v>334</v>
      </c>
      <c r="D40" s="1" t="s">
        <v>335</v>
      </c>
      <c r="E40" s="1" t="s">
        <v>336</v>
      </c>
      <c r="F40" s="1" t="s">
        <v>337</v>
      </c>
      <c r="G40" s="1" t="s">
        <v>338</v>
      </c>
      <c r="I40" s="1" t="s">
        <v>339</v>
      </c>
      <c r="J40" s="1" t="s">
        <v>340</v>
      </c>
      <c r="K40" s="2" t="s">
        <v>341</v>
      </c>
      <c r="L40" s="2">
        <f>1500/500</f>
        <v>3</v>
      </c>
      <c r="M40" s="2">
        <f t="shared" si="0"/>
        <v>10</v>
      </c>
      <c r="N40" s="2">
        <v>50</v>
      </c>
    </row>
    <row r="41" spans="1:14" ht="172.8" x14ac:dyDescent="0.3">
      <c r="A41" s="6" t="s">
        <v>342</v>
      </c>
      <c r="B41" s="5" t="s">
        <v>343</v>
      </c>
      <c r="C41" s="1" t="s">
        <v>344</v>
      </c>
      <c r="D41" s="1" t="s">
        <v>345</v>
      </c>
      <c r="E41" s="1" t="s">
        <v>344</v>
      </c>
      <c r="F41" s="1" t="s">
        <v>346</v>
      </c>
      <c r="G41" s="1" t="s">
        <v>347</v>
      </c>
      <c r="H41" s="1" t="s">
        <v>348</v>
      </c>
      <c r="J41" s="1" t="s">
        <v>349</v>
      </c>
      <c r="K41" s="2" t="s">
        <v>350</v>
      </c>
      <c r="L41" s="2">
        <f>4500/4000</f>
        <v>1.125</v>
      </c>
      <c r="M41" s="2">
        <v>0</v>
      </c>
      <c r="N41" s="2">
        <v>40</v>
      </c>
    </row>
    <row r="42" spans="1:14" ht="187.2" x14ac:dyDescent="0.3">
      <c r="A42" s="1" t="s">
        <v>351</v>
      </c>
      <c r="B42" s="1" t="s">
        <v>352</v>
      </c>
      <c r="C42" s="1" t="s">
        <v>353</v>
      </c>
      <c r="D42" s="1" t="s">
        <v>354</v>
      </c>
      <c r="E42" s="1" t="s">
        <v>353</v>
      </c>
      <c r="F42" s="1" t="s">
        <v>355</v>
      </c>
      <c r="G42" s="1" t="s">
        <v>356</v>
      </c>
      <c r="K42" s="2" t="s">
        <v>357</v>
      </c>
      <c r="L42" s="2">
        <f>800/500</f>
        <v>1.6</v>
      </c>
      <c r="M42" s="2">
        <f t="shared" si="0"/>
        <v>8</v>
      </c>
      <c r="N42" s="2">
        <v>40</v>
      </c>
    </row>
    <row r="43" spans="1:14" x14ac:dyDescent="0.3">
      <c r="A43" s="1" t="s">
        <v>358</v>
      </c>
      <c r="F43" s="1"/>
      <c r="G43" s="1"/>
      <c r="L43" s="2">
        <f>500/500</f>
        <v>1</v>
      </c>
      <c r="M43" s="2">
        <f t="shared" si="0"/>
        <v>10</v>
      </c>
      <c r="N43" s="2">
        <v>50</v>
      </c>
    </row>
    <row r="44" spans="1:14" x14ac:dyDescent="0.3">
      <c r="A44" s="1" t="s">
        <v>359</v>
      </c>
      <c r="F44" s="1"/>
      <c r="G44" s="1"/>
      <c r="L44" s="2">
        <f>500/500</f>
        <v>1</v>
      </c>
      <c r="M44" s="2">
        <f t="shared" si="0"/>
        <v>10</v>
      </c>
      <c r="N44" s="2">
        <v>50</v>
      </c>
    </row>
    <row r="45" spans="1:14" ht="28.8" x14ac:dyDescent="0.3">
      <c r="A45" s="4" t="s">
        <v>360</v>
      </c>
      <c r="L45" s="2">
        <f>21000/10000</f>
        <v>2.1</v>
      </c>
      <c r="M45" s="2">
        <f t="shared" si="0"/>
        <v>10</v>
      </c>
      <c r="N45" s="2">
        <v>50</v>
      </c>
    </row>
    <row r="46" spans="1:14" ht="43.2" x14ac:dyDescent="0.3">
      <c r="A46" s="4" t="s">
        <v>361</v>
      </c>
      <c r="L46" s="2">
        <f t="shared" ref="L46:L47" si="1">21000/10000</f>
        <v>2.1</v>
      </c>
      <c r="M46" s="2">
        <f t="shared" si="0"/>
        <v>10</v>
      </c>
      <c r="N46" s="2">
        <v>50</v>
      </c>
    </row>
    <row r="47" spans="1:14" ht="43.2" x14ac:dyDescent="0.3">
      <c r="A47" s="4" t="s">
        <v>362</v>
      </c>
      <c r="L47" s="2">
        <f t="shared" si="1"/>
        <v>2.1</v>
      </c>
      <c r="M47" s="2">
        <f t="shared" si="0"/>
        <v>10</v>
      </c>
      <c r="N47" s="2">
        <v>50</v>
      </c>
    </row>
    <row r="48" spans="1:14" x14ac:dyDescent="0.3">
      <c r="A48" s="1" t="s">
        <v>363</v>
      </c>
      <c r="L48" s="2">
        <f>6000/1000</f>
        <v>6</v>
      </c>
      <c r="M48" s="2" t="s">
        <v>364</v>
      </c>
    </row>
    <row r="49" spans="1:13" x14ac:dyDescent="0.3">
      <c r="L49" s="2" t="s">
        <v>365</v>
      </c>
      <c r="M49" s="2" t="s">
        <v>366</v>
      </c>
    </row>
    <row r="51" spans="1:13" ht="409.6" x14ac:dyDescent="0.3">
      <c r="A51" s="1" t="s">
        <v>367</v>
      </c>
      <c r="C51" s="1" t="s">
        <v>368</v>
      </c>
    </row>
    <row r="52" spans="1:13" x14ac:dyDescent="0.3">
      <c r="C52" s="1" t="s">
        <v>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denny lee</dc:creator>
  <cp:lastModifiedBy>denny lee</cp:lastModifiedBy>
  <dcterms:created xsi:type="dcterms:W3CDTF">2025-11-03T15:25:58Z</dcterms:created>
  <dcterms:modified xsi:type="dcterms:W3CDTF">2025-11-03T15:26:46Z</dcterms:modified>
</cp:coreProperties>
</file>